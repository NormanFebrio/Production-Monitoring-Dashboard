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4220\Downloads\"/>
    </mc:Choice>
  </mc:AlternateContent>
  <xr:revisionPtr revIDLastSave="0" documentId="13_ncr:1_{C25FC025-DCC2-4254-A534-BCE394AAF490}" xr6:coauthVersionLast="47" xr6:coauthVersionMax="47" xr10:uidLastSave="{00000000-0000-0000-0000-000000000000}"/>
  <bookViews>
    <workbookView xWindow="-120" yWindow="-120" windowWidth="29040" windowHeight="16440" tabRatio="687" activeTab="3" xr2:uid="{00000000-000D-0000-FFFF-FFFF00000000}"/>
  </bookViews>
  <sheets>
    <sheet name="KPI" sheetId="19" r:id="rId1"/>
    <sheet name="Target Per Line" sheetId="22" r:id="rId2"/>
    <sheet name="Raw Data" sheetId="18" r:id="rId3"/>
    <sheet name="Dashboard" sheetId="20" r:id="rId4"/>
    <sheet name="Detail Per Bulan" sheetId="25" r:id="rId5"/>
  </sheets>
  <calcPr calcId="191029"/>
  <pivotCaches>
    <pivotCache cacheId="2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" i="19" l="1"/>
  <c r="G10" i="22"/>
  <c r="G11" i="22"/>
  <c r="D26" i="25"/>
  <c r="E26" i="25"/>
  <c r="F26" i="25"/>
  <c r="G26" i="25"/>
  <c r="H26" i="25"/>
  <c r="I26" i="25"/>
  <c r="C26" i="25"/>
  <c r="B31" i="25"/>
  <c r="G14" i="22"/>
  <c r="G13" i="22"/>
  <c r="G12" i="22"/>
  <c r="B2" i="18"/>
  <c r="B10" i="18"/>
  <c r="B18" i="18"/>
  <c r="B26" i="18"/>
  <c r="B34" i="18"/>
  <c r="B42" i="18"/>
  <c r="B50" i="18"/>
  <c r="B58" i="18"/>
  <c r="B66" i="18"/>
  <c r="B74" i="18"/>
  <c r="B82" i="18"/>
  <c r="B90" i="18"/>
  <c r="H47" i="19" l="1"/>
  <c r="H48" i="19" s="1"/>
  <c r="J2" i="18"/>
  <c r="J10" i="18"/>
  <c r="J18" i="18"/>
  <c r="J26" i="18"/>
  <c r="J34" i="18"/>
  <c r="J42" i="18"/>
  <c r="J50" i="18"/>
  <c r="J58" i="18"/>
  <c r="J66" i="18"/>
  <c r="J74" i="18"/>
  <c r="J82" i="18"/>
  <c r="J90" i="18"/>
  <c r="H2" i="18"/>
  <c r="H10" i="18"/>
  <c r="H18" i="18"/>
  <c r="H26" i="18"/>
  <c r="H34" i="18"/>
  <c r="H42" i="18"/>
  <c r="H50" i="18"/>
  <c r="H58" i="18"/>
  <c r="H66" i="18"/>
  <c r="H74" i="18"/>
  <c r="H82" i="18"/>
  <c r="H90" i="18"/>
  <c r="L40" i="25" l="1"/>
  <c r="B32" i="25" l="1"/>
  <c r="B33" i="25"/>
  <c r="B34" i="25"/>
  <c r="B35" i="25"/>
  <c r="B36" i="25"/>
  <c r="B37" i="25"/>
  <c r="B38" i="25"/>
  <c r="B30" i="25"/>
  <c r="D29" i="25"/>
  <c r="E29" i="25"/>
  <c r="F29" i="25"/>
  <c r="G29" i="25"/>
  <c r="H29" i="25"/>
  <c r="I29" i="25"/>
  <c r="J29" i="25"/>
  <c r="C29" i="25"/>
  <c r="J41" i="25"/>
  <c r="B50" i="25"/>
  <c r="B43" i="25"/>
  <c r="B44" i="25"/>
  <c r="B45" i="25"/>
  <c r="B46" i="25"/>
  <c r="B47" i="25"/>
  <c r="B48" i="25"/>
  <c r="B49" i="25"/>
  <c r="B42" i="25"/>
  <c r="D41" i="25"/>
  <c r="E41" i="25"/>
  <c r="F41" i="25"/>
  <c r="G41" i="25"/>
  <c r="H41" i="25"/>
  <c r="I41" i="25"/>
  <c r="C41" i="25"/>
  <c r="F32" i="25" l="1"/>
  <c r="E31" i="25"/>
  <c r="C32" i="25"/>
  <c r="D32" i="25"/>
  <c r="H30" i="25"/>
  <c r="J37" i="25"/>
  <c r="F35" i="25"/>
  <c r="J42" i="25"/>
  <c r="F47" i="25"/>
  <c r="I38" i="25"/>
  <c r="J44" i="25"/>
  <c r="D34" i="25"/>
  <c r="G43" i="25"/>
  <c r="G31" i="25"/>
  <c r="F44" i="25"/>
  <c r="J45" i="25"/>
  <c r="I37" i="25"/>
  <c r="E32" i="25"/>
  <c r="G36" i="25"/>
  <c r="D33" i="25"/>
  <c r="J50" i="25"/>
  <c r="D31" i="25"/>
  <c r="J46" i="25"/>
  <c r="H32" i="25"/>
  <c r="G30" i="25"/>
  <c r="H31" i="25"/>
  <c r="H37" i="25"/>
  <c r="H35" i="25"/>
  <c r="G35" i="25"/>
  <c r="F31" i="25"/>
  <c r="E34" i="25"/>
  <c r="G49" i="25"/>
  <c r="I44" i="25"/>
  <c r="F48" i="25"/>
  <c r="G32" i="25"/>
  <c r="J38" i="25"/>
  <c r="D35" i="25"/>
  <c r="J35" i="25"/>
  <c r="J49" i="25"/>
  <c r="I36" i="25"/>
  <c r="I34" i="25"/>
  <c r="H33" i="25"/>
  <c r="J34" i="25"/>
  <c r="E46" i="25"/>
  <c r="J48" i="25"/>
  <c r="H36" i="25"/>
  <c r="H34" i="25"/>
  <c r="G33" i="25"/>
  <c r="C31" i="25"/>
  <c r="J33" i="25"/>
  <c r="J43" i="25"/>
  <c r="C34" i="25"/>
  <c r="J36" i="25"/>
  <c r="I30" i="25"/>
  <c r="I33" i="25"/>
  <c r="J47" i="25"/>
  <c r="F30" i="25"/>
  <c r="G34" i="25"/>
  <c r="F33" i="25"/>
  <c r="C30" i="25"/>
  <c r="J32" i="25"/>
  <c r="E30" i="25"/>
  <c r="I35" i="25"/>
  <c r="F34" i="25"/>
  <c r="I31" i="25"/>
  <c r="J30" i="25"/>
  <c r="J31" i="25"/>
  <c r="D30" i="25"/>
  <c r="I32" i="25"/>
  <c r="G38" i="25"/>
  <c r="F37" i="25"/>
  <c r="F36" i="25"/>
  <c r="E38" i="25"/>
  <c r="E37" i="25"/>
  <c r="E36" i="25"/>
  <c r="E35" i="25"/>
  <c r="E33" i="25"/>
  <c r="H38" i="25"/>
  <c r="D38" i="25"/>
  <c r="D37" i="25"/>
  <c r="D36" i="25"/>
  <c r="C38" i="25"/>
  <c r="C37" i="25"/>
  <c r="C36" i="25"/>
  <c r="C35" i="25"/>
  <c r="C33" i="25"/>
  <c r="G37" i="25"/>
  <c r="F38" i="25"/>
  <c r="C42" i="25"/>
  <c r="C47" i="25"/>
  <c r="H49" i="25"/>
  <c r="G48" i="25"/>
  <c r="E48" i="25"/>
  <c r="E47" i="25"/>
  <c r="D47" i="25"/>
  <c r="D45" i="25"/>
  <c r="D46" i="25"/>
  <c r="C44" i="25"/>
  <c r="H44" i="25"/>
  <c r="C43" i="25"/>
  <c r="H43" i="25"/>
  <c r="C50" i="25"/>
  <c r="C45" i="25"/>
  <c r="I43" i="25"/>
  <c r="I42" i="25"/>
  <c r="H42" i="25"/>
  <c r="F49" i="25"/>
  <c r="E49" i="25"/>
  <c r="I45" i="25"/>
  <c r="H50" i="25"/>
  <c r="F42" i="25"/>
  <c r="D49" i="25"/>
  <c r="C48" i="25"/>
  <c r="I46" i="25"/>
  <c r="H45" i="25"/>
  <c r="G44" i="25"/>
  <c r="F43" i="25"/>
  <c r="G50" i="25"/>
  <c r="C46" i="25"/>
  <c r="I47" i="25"/>
  <c r="H46" i="25"/>
  <c r="G45" i="25"/>
  <c r="E43" i="25"/>
  <c r="F50" i="25"/>
  <c r="D42" i="25"/>
  <c r="I48" i="25"/>
  <c r="H47" i="25"/>
  <c r="G46" i="25"/>
  <c r="F45" i="25"/>
  <c r="E44" i="25"/>
  <c r="D43" i="25"/>
  <c r="E50" i="25"/>
  <c r="I50" i="25"/>
  <c r="G42" i="25"/>
  <c r="C49" i="25"/>
  <c r="I49" i="25"/>
  <c r="H48" i="25"/>
  <c r="G47" i="25"/>
  <c r="F46" i="25"/>
  <c r="E45" i="25"/>
  <c r="D44" i="25"/>
  <c r="D50" i="25"/>
  <c r="D48" i="25"/>
  <c r="E42" i="25"/>
  <c r="P35" i="22"/>
  <c r="O35" i="22"/>
  <c r="N35" i="22"/>
  <c r="M35" i="22"/>
  <c r="L35" i="22"/>
  <c r="K35" i="22"/>
  <c r="J35" i="22"/>
  <c r="I35" i="22"/>
  <c r="P18" i="22"/>
  <c r="O18" i="22"/>
  <c r="O36" i="22" s="1"/>
  <c r="N18" i="22"/>
  <c r="M18" i="22"/>
  <c r="M36" i="22" s="1"/>
  <c r="L18" i="22"/>
  <c r="L19" i="22" s="1"/>
  <c r="K18" i="22"/>
  <c r="J18" i="22"/>
  <c r="J36" i="22" s="1"/>
  <c r="I18" i="22"/>
  <c r="G51" i="19"/>
  <c r="G50" i="19"/>
  <c r="M2" i="22"/>
  <c r="M5" i="22" s="1"/>
  <c r="L2" i="22"/>
  <c r="L5" i="22" s="1"/>
  <c r="K2" i="22"/>
  <c r="K5" i="22" s="1"/>
  <c r="J2" i="22"/>
  <c r="J3" i="22" s="1"/>
  <c r="I2" i="22"/>
  <c r="I5" i="22" s="1"/>
  <c r="H2" i="22"/>
  <c r="H5" i="22" s="1"/>
  <c r="F1" i="22"/>
  <c r="F2" i="22"/>
  <c r="F5" i="22" l="1"/>
  <c r="I36" i="22"/>
  <c r="F3" i="22"/>
  <c r="I34" i="22"/>
  <c r="K19" i="22"/>
  <c r="J19" i="22"/>
  <c r="I19" i="22"/>
  <c r="L36" i="22"/>
  <c r="P36" i="22"/>
  <c r="P19" i="22"/>
  <c r="K36" i="22"/>
  <c r="M19" i="22"/>
  <c r="N36" i="22"/>
  <c r="O19" i="22"/>
  <c r="N19" i="22"/>
  <c r="L3" i="22"/>
  <c r="L4" i="22" s="1"/>
  <c r="K3" i="22"/>
  <c r="K7" i="22" s="1"/>
  <c r="J5" i="22"/>
  <c r="J4" i="22" s="1"/>
  <c r="H3" i="22"/>
  <c r="H4" i="22" s="1"/>
  <c r="I3" i="22"/>
  <c r="I4" i="22" s="1"/>
  <c r="M3" i="22"/>
  <c r="M4" i="22" s="1"/>
  <c r="A67" i="18"/>
  <c r="A75" i="18"/>
  <c r="A83" i="18"/>
  <c r="A91" i="18"/>
  <c r="K2" i="18"/>
  <c r="A3" i="18"/>
  <c r="A11" i="18"/>
  <c r="A19" i="18"/>
  <c r="A27" i="18"/>
  <c r="A35" i="18"/>
  <c r="A43" i="18"/>
  <c r="A51" i="18"/>
  <c r="A59" i="18"/>
  <c r="D3" i="19"/>
  <c r="E6" i="19"/>
  <c r="E8" i="19"/>
  <c r="K10" i="22" l="1"/>
  <c r="K11" i="22"/>
  <c r="J39" i="19"/>
  <c r="H38" i="19"/>
  <c r="J38" i="19" s="1"/>
  <c r="H40" i="19"/>
  <c r="H30" i="19"/>
  <c r="H32" i="19"/>
  <c r="I14" i="19"/>
  <c r="G14" i="19"/>
  <c r="H14" i="19"/>
  <c r="B27" i="18"/>
  <c r="J27" i="18"/>
  <c r="B67" i="18"/>
  <c r="J67" i="18"/>
  <c r="B19" i="18"/>
  <c r="J19" i="18"/>
  <c r="B11" i="18"/>
  <c r="J11" i="18"/>
  <c r="B3" i="18"/>
  <c r="J3" i="18"/>
  <c r="B59" i="18"/>
  <c r="J59" i="18"/>
  <c r="B51" i="18"/>
  <c r="J51" i="18"/>
  <c r="B91" i="18"/>
  <c r="J91" i="18"/>
  <c r="B43" i="18"/>
  <c r="J43" i="18"/>
  <c r="B83" i="18"/>
  <c r="J83" i="18"/>
  <c r="B35" i="18"/>
  <c r="J35" i="18"/>
  <c r="B75" i="18"/>
  <c r="J75" i="18"/>
  <c r="P2" i="22"/>
  <c r="Q2" i="22"/>
  <c r="P3" i="22"/>
  <c r="Q3" i="22"/>
  <c r="G3" i="18"/>
  <c r="G59" i="18"/>
  <c r="G35" i="18"/>
  <c r="G75" i="18"/>
  <c r="G27" i="18"/>
  <c r="G19" i="18"/>
  <c r="G51" i="18"/>
  <c r="G43" i="18"/>
  <c r="G83" i="18"/>
  <c r="G67" i="18"/>
  <c r="G11" i="18"/>
  <c r="G2" i="18"/>
  <c r="G10" i="18"/>
  <c r="G18" i="18"/>
  <c r="G26" i="18"/>
  <c r="G34" i="18"/>
  <c r="G42" i="18"/>
  <c r="G50" i="18"/>
  <c r="G58" i="18"/>
  <c r="G66" i="18"/>
  <c r="G74" i="18"/>
  <c r="G82" i="18"/>
  <c r="G90" i="18"/>
  <c r="G91" i="18"/>
  <c r="A60" i="18"/>
  <c r="H59" i="18"/>
  <c r="A52" i="18"/>
  <c r="H51" i="18"/>
  <c r="H91" i="18"/>
  <c r="A84" i="18"/>
  <c r="H83" i="18"/>
  <c r="H35" i="18"/>
  <c r="A76" i="18"/>
  <c r="H75" i="18"/>
  <c r="A44" i="18"/>
  <c r="H43" i="18"/>
  <c r="A28" i="18"/>
  <c r="H27" i="18"/>
  <c r="A68" i="18"/>
  <c r="H67" i="18"/>
  <c r="A20" i="18"/>
  <c r="H19" i="18"/>
  <c r="A4" i="18"/>
  <c r="H3" i="18"/>
  <c r="A12" i="18"/>
  <c r="H11" i="18"/>
  <c r="I2" i="18"/>
  <c r="L6" i="22"/>
  <c r="L7" i="22"/>
  <c r="K8" i="22"/>
  <c r="K9" i="22"/>
  <c r="K6" i="22"/>
  <c r="K4" i="22"/>
  <c r="F6" i="22"/>
  <c r="F7" i="22"/>
  <c r="J6" i="22"/>
  <c r="I7" i="22"/>
  <c r="I6" i="22"/>
  <c r="M7" i="22"/>
  <c r="M6" i="22"/>
  <c r="J7" i="22"/>
  <c r="F4" i="22"/>
  <c r="H6" i="22"/>
  <c r="H7" i="22"/>
  <c r="A36" i="18"/>
  <c r="I60" i="18"/>
  <c r="I91" i="18"/>
  <c r="I83" i="18"/>
  <c r="I75" i="18"/>
  <c r="I67" i="18"/>
  <c r="I59" i="18"/>
  <c r="I51" i="18"/>
  <c r="I43" i="18"/>
  <c r="I35" i="18"/>
  <c r="I27" i="18"/>
  <c r="I19" i="18"/>
  <c r="I11" i="18"/>
  <c r="I3" i="18"/>
  <c r="I90" i="18"/>
  <c r="I82" i="18"/>
  <c r="I74" i="18"/>
  <c r="I66" i="18"/>
  <c r="I58" i="18"/>
  <c r="I50" i="18"/>
  <c r="I42" i="18"/>
  <c r="I34" i="18"/>
  <c r="I26" i="18"/>
  <c r="I18" i="18"/>
  <c r="I10" i="18"/>
  <c r="A92" i="18"/>
  <c r="E7" i="19"/>
  <c r="H10" i="22" l="1"/>
  <c r="H11" i="22"/>
  <c r="J10" i="22"/>
  <c r="J11" i="22"/>
  <c r="M10" i="22"/>
  <c r="M11" i="22"/>
  <c r="I10" i="22"/>
  <c r="I11" i="22"/>
  <c r="F10" i="22"/>
  <c r="F11" i="22"/>
  <c r="L10" i="22"/>
  <c r="L11" i="22"/>
  <c r="F13" i="22"/>
  <c r="F12" i="22"/>
  <c r="F14" i="22"/>
  <c r="M12" i="22"/>
  <c r="M14" i="22"/>
  <c r="M13" i="22"/>
  <c r="K14" i="22"/>
  <c r="K12" i="22"/>
  <c r="K13" i="22"/>
  <c r="I13" i="22"/>
  <c r="I12" i="22"/>
  <c r="I14" i="22"/>
  <c r="H13" i="22"/>
  <c r="H14" i="22"/>
  <c r="H12" i="22"/>
  <c r="J14" i="22"/>
  <c r="J12" i="22"/>
  <c r="J13" i="22"/>
  <c r="L13" i="22"/>
  <c r="L12" i="22"/>
  <c r="L14" i="22"/>
  <c r="B84" i="18"/>
  <c r="J84" i="18"/>
  <c r="B12" i="18"/>
  <c r="J12" i="18"/>
  <c r="B28" i="18"/>
  <c r="J28" i="18"/>
  <c r="B92" i="18"/>
  <c r="J92" i="18"/>
  <c r="B4" i="18"/>
  <c r="J4" i="18"/>
  <c r="I44" i="18"/>
  <c r="B44" i="18"/>
  <c r="J44" i="18"/>
  <c r="B52" i="18"/>
  <c r="J52" i="18"/>
  <c r="I12" i="18"/>
  <c r="B20" i="18"/>
  <c r="J20" i="18"/>
  <c r="B76" i="18"/>
  <c r="J76" i="18"/>
  <c r="B60" i="18"/>
  <c r="J60" i="18"/>
  <c r="I84" i="18"/>
  <c r="B36" i="18"/>
  <c r="J36" i="18"/>
  <c r="B68" i="18"/>
  <c r="J68" i="18"/>
  <c r="H45" i="19"/>
  <c r="H46" i="19"/>
  <c r="G4" i="18"/>
  <c r="I4" i="18"/>
  <c r="G92" i="18"/>
  <c r="G60" i="18"/>
  <c r="G44" i="18"/>
  <c r="G36" i="18"/>
  <c r="G12" i="18"/>
  <c r="G28" i="18"/>
  <c r="G84" i="18"/>
  <c r="G20" i="18"/>
  <c r="I68" i="18"/>
  <c r="G68" i="18"/>
  <c r="G76" i="18"/>
  <c r="G52" i="18"/>
  <c r="I76" i="18"/>
  <c r="I52" i="18"/>
  <c r="I20" i="18"/>
  <c r="I36" i="18"/>
  <c r="H36" i="18"/>
  <c r="A29" i="18"/>
  <c r="H28" i="18"/>
  <c r="I28" i="18"/>
  <c r="A85" i="18"/>
  <c r="H84" i="18"/>
  <c r="H92" i="18"/>
  <c r="A21" i="18"/>
  <c r="H20" i="18"/>
  <c r="A69" i="18"/>
  <c r="H68" i="18"/>
  <c r="A77" i="18"/>
  <c r="H76" i="18"/>
  <c r="A53" i="18"/>
  <c r="H52" i="18"/>
  <c r="A13" i="18"/>
  <c r="H12" i="18"/>
  <c r="A5" i="18"/>
  <c r="H4" i="18"/>
  <c r="A45" i="18"/>
  <c r="H44" i="18"/>
  <c r="A61" i="18"/>
  <c r="H60" i="18"/>
  <c r="L9" i="22"/>
  <c r="L8" i="22"/>
  <c r="I8" i="22"/>
  <c r="I9" i="22"/>
  <c r="H8" i="22"/>
  <c r="H9" i="22"/>
  <c r="M8" i="22"/>
  <c r="M9" i="22"/>
  <c r="J8" i="22"/>
  <c r="J9" i="22"/>
  <c r="F9" i="22"/>
  <c r="F8" i="22"/>
  <c r="H41" i="19"/>
  <c r="H39" i="19"/>
  <c r="H33" i="19"/>
  <c r="A37" i="18"/>
  <c r="A93" i="18"/>
  <c r="I92" i="18"/>
  <c r="I38" i="22" l="1"/>
  <c r="I37" i="22" s="1"/>
  <c r="B93" i="18"/>
  <c r="J93" i="18"/>
  <c r="B85" i="18"/>
  <c r="J85" i="18"/>
  <c r="B5" i="18"/>
  <c r="J5" i="18"/>
  <c r="B69" i="18"/>
  <c r="J69" i="18"/>
  <c r="B37" i="18"/>
  <c r="J37" i="18"/>
  <c r="B13" i="18"/>
  <c r="J13" i="18"/>
  <c r="B21" i="18"/>
  <c r="J21" i="18"/>
  <c r="B29" i="18"/>
  <c r="J29" i="18"/>
  <c r="B61" i="18"/>
  <c r="J61" i="18"/>
  <c r="B53" i="18"/>
  <c r="J53" i="18"/>
  <c r="B45" i="18"/>
  <c r="J45" i="18"/>
  <c r="B77" i="18"/>
  <c r="J77" i="18"/>
  <c r="J38" i="22"/>
  <c r="J37" i="22" s="1"/>
  <c r="K38" i="22"/>
  <c r="K37" i="22" s="1"/>
  <c r="L38" i="22"/>
  <c r="L37" i="22" s="1"/>
  <c r="M38" i="22"/>
  <c r="M37" i="22" s="1"/>
  <c r="N38" i="22"/>
  <c r="N37" i="22" s="1"/>
  <c r="O38" i="22"/>
  <c r="O37" i="22" s="1"/>
  <c r="P38" i="22"/>
  <c r="P37" i="22" s="1"/>
  <c r="I21" i="22"/>
  <c r="I20" i="22" s="1"/>
  <c r="J21" i="22"/>
  <c r="K21" i="22"/>
  <c r="L21" i="22"/>
  <c r="M21" i="22"/>
  <c r="N21" i="22"/>
  <c r="O21" i="22"/>
  <c r="P21" i="22"/>
  <c r="G45" i="18"/>
  <c r="G93" i="18"/>
  <c r="G21" i="18"/>
  <c r="G29" i="18"/>
  <c r="G53" i="18"/>
  <c r="G77" i="18"/>
  <c r="G5" i="18"/>
  <c r="G69" i="18"/>
  <c r="G61" i="18"/>
  <c r="G85" i="18"/>
  <c r="G13" i="18"/>
  <c r="H37" i="18"/>
  <c r="G37" i="18"/>
  <c r="A38" i="18"/>
  <c r="A86" i="18"/>
  <c r="H85" i="18"/>
  <c r="I85" i="18"/>
  <c r="A70" i="18"/>
  <c r="H69" i="18"/>
  <c r="I69" i="18"/>
  <c r="A14" i="18"/>
  <c r="H13" i="18"/>
  <c r="I13" i="18"/>
  <c r="H61" i="18"/>
  <c r="I61" i="18"/>
  <c r="A62" i="18"/>
  <c r="A22" i="18"/>
  <c r="H21" i="18"/>
  <c r="I21" i="18"/>
  <c r="A46" i="18"/>
  <c r="H45" i="18"/>
  <c r="I45" i="18"/>
  <c r="A54" i="18"/>
  <c r="H53" i="18"/>
  <c r="I53" i="18"/>
  <c r="A30" i="18"/>
  <c r="H29" i="18"/>
  <c r="I29" i="18"/>
  <c r="H93" i="18"/>
  <c r="A6" i="18"/>
  <c r="H5" i="18"/>
  <c r="I5" i="18"/>
  <c r="A78" i="18"/>
  <c r="H77" i="18"/>
  <c r="I77" i="18"/>
  <c r="I37" i="18"/>
  <c r="A94" i="18"/>
  <c r="I93" i="18"/>
  <c r="B30" i="18" l="1"/>
  <c r="J30" i="18"/>
  <c r="B46" i="18"/>
  <c r="J46" i="18"/>
  <c r="B70" i="18"/>
  <c r="J70" i="18"/>
  <c r="B6" i="18"/>
  <c r="J6" i="18"/>
  <c r="B54" i="18"/>
  <c r="J54" i="18"/>
  <c r="B22" i="18"/>
  <c r="J22" i="18"/>
  <c r="B14" i="18"/>
  <c r="J14" i="18"/>
  <c r="B86" i="18"/>
  <c r="J86" i="18"/>
  <c r="B94" i="18"/>
  <c r="J94" i="18"/>
  <c r="B78" i="18"/>
  <c r="J78" i="18"/>
  <c r="B62" i="18"/>
  <c r="J62" i="18"/>
  <c r="I38" i="18"/>
  <c r="B38" i="18"/>
  <c r="J38" i="18"/>
  <c r="P40" i="22"/>
  <c r="P44" i="22" s="1"/>
  <c r="P39" i="22"/>
  <c r="O40" i="22"/>
  <c r="O44" i="22" s="1"/>
  <c r="O39" i="22"/>
  <c r="N40" i="22"/>
  <c r="N44" i="22" s="1"/>
  <c r="N39" i="22"/>
  <c r="M39" i="22"/>
  <c r="M40" i="22"/>
  <c r="M44" i="22" s="1"/>
  <c r="L39" i="22"/>
  <c r="L40" i="22"/>
  <c r="L44" i="22" s="1"/>
  <c r="K40" i="22"/>
  <c r="K44" i="22" s="1"/>
  <c r="K39" i="22"/>
  <c r="J39" i="22"/>
  <c r="J40" i="22"/>
  <c r="J44" i="22" s="1"/>
  <c r="I40" i="22"/>
  <c r="I44" i="22" s="1"/>
  <c r="I39" i="22"/>
  <c r="I23" i="22"/>
  <c r="I22" i="22"/>
  <c r="I30" i="22" s="1"/>
  <c r="O23" i="22"/>
  <c r="O22" i="22"/>
  <c r="O20" i="22"/>
  <c r="N22" i="22"/>
  <c r="N20" i="22"/>
  <c r="N23" i="22"/>
  <c r="M23" i="22"/>
  <c r="M20" i="22"/>
  <c r="M22" i="22"/>
  <c r="L22" i="22"/>
  <c r="L23" i="22"/>
  <c r="L20" i="22"/>
  <c r="K23" i="22"/>
  <c r="K22" i="22"/>
  <c r="K20" i="22"/>
  <c r="J23" i="22"/>
  <c r="J20" i="22"/>
  <c r="J22" i="22"/>
  <c r="P23" i="22"/>
  <c r="P22" i="22"/>
  <c r="P20" i="22"/>
  <c r="G78" i="18"/>
  <c r="G54" i="18"/>
  <c r="G22" i="18"/>
  <c r="G46" i="18"/>
  <c r="G86" i="18"/>
  <c r="G70" i="18"/>
  <c r="G38" i="18"/>
  <c r="H38" i="18"/>
  <c r="G94" i="18"/>
  <c r="G6" i="18"/>
  <c r="G30" i="18"/>
  <c r="G62" i="18"/>
  <c r="G14" i="18"/>
  <c r="A39" i="18"/>
  <c r="A15" i="18"/>
  <c r="H14" i="18"/>
  <c r="I14" i="18"/>
  <c r="A31" i="18"/>
  <c r="H30" i="18"/>
  <c r="I30" i="18"/>
  <c r="A79" i="18"/>
  <c r="H78" i="18"/>
  <c r="I78" i="18"/>
  <c r="A23" i="18"/>
  <c r="H22" i="18"/>
  <c r="I22" i="18"/>
  <c r="A7" i="18"/>
  <c r="H6" i="18"/>
  <c r="I6" i="18"/>
  <c r="A55" i="18"/>
  <c r="H54" i="18"/>
  <c r="I54" i="18"/>
  <c r="I39" i="18"/>
  <c r="H39" i="18"/>
  <c r="H94" i="18"/>
  <c r="H46" i="18"/>
  <c r="I46" i="18"/>
  <c r="A47" i="18"/>
  <c r="H62" i="18"/>
  <c r="A63" i="18"/>
  <c r="I62" i="18"/>
  <c r="A71" i="18"/>
  <c r="H70" i="18"/>
  <c r="I70" i="18"/>
  <c r="A87" i="18"/>
  <c r="H86" i="18"/>
  <c r="I86" i="18"/>
  <c r="A95" i="18"/>
  <c r="I94" i="18"/>
  <c r="P26" i="22" l="1"/>
  <c r="P27" i="22"/>
  <c r="J26" i="22"/>
  <c r="J27" i="22"/>
  <c r="K26" i="22"/>
  <c r="K27" i="22"/>
  <c r="L26" i="22"/>
  <c r="L27" i="22"/>
  <c r="M26" i="22"/>
  <c r="M27" i="22"/>
  <c r="N26" i="22"/>
  <c r="N27" i="22"/>
  <c r="O26" i="22"/>
  <c r="O27" i="22"/>
  <c r="I25" i="22"/>
  <c r="I26" i="22"/>
  <c r="I27" i="22"/>
  <c r="J43" i="22"/>
  <c r="K43" i="22"/>
  <c r="L43" i="22"/>
  <c r="M43" i="22"/>
  <c r="N43" i="22"/>
  <c r="O43" i="22"/>
  <c r="P43" i="22"/>
  <c r="I43" i="22"/>
  <c r="O28" i="22"/>
  <c r="O29" i="22"/>
  <c r="M28" i="22"/>
  <c r="M29" i="22"/>
  <c r="P28" i="22"/>
  <c r="P29" i="22"/>
  <c r="N28" i="22"/>
  <c r="N29" i="22"/>
  <c r="J28" i="22"/>
  <c r="J29" i="22"/>
  <c r="K28" i="22"/>
  <c r="K29" i="22"/>
  <c r="L28" i="22"/>
  <c r="L29" i="22"/>
  <c r="I28" i="22"/>
  <c r="I29" i="22"/>
  <c r="P30" i="22"/>
  <c r="N30" i="22"/>
  <c r="M30" i="22"/>
  <c r="J30" i="22"/>
  <c r="L30" i="22"/>
  <c r="O30" i="22"/>
  <c r="K30" i="22"/>
  <c r="B79" i="18"/>
  <c r="J79" i="18"/>
  <c r="B87" i="18"/>
  <c r="J87" i="18"/>
  <c r="B23" i="18"/>
  <c r="J23" i="18"/>
  <c r="B15" i="18"/>
  <c r="J15" i="18"/>
  <c r="B47" i="18"/>
  <c r="J47" i="18"/>
  <c r="B39" i="18"/>
  <c r="J39" i="18"/>
  <c r="B95" i="18"/>
  <c r="J95" i="18"/>
  <c r="B7" i="18"/>
  <c r="J7" i="18"/>
  <c r="B71" i="18"/>
  <c r="J71" i="18"/>
  <c r="B55" i="18"/>
  <c r="J55" i="18"/>
  <c r="B31" i="18"/>
  <c r="J31" i="18"/>
  <c r="B63" i="18"/>
  <c r="J63" i="18"/>
  <c r="I24" i="22"/>
  <c r="K42" i="22"/>
  <c r="K41" i="22"/>
  <c r="N41" i="22"/>
  <c r="N42" i="22"/>
  <c r="L41" i="22"/>
  <c r="L42" i="22"/>
  <c r="J42" i="22"/>
  <c r="J41" i="22"/>
  <c r="O41" i="22"/>
  <c r="O42" i="22"/>
  <c r="M41" i="22"/>
  <c r="M42" i="22"/>
  <c r="P41" i="22"/>
  <c r="P42" i="22"/>
  <c r="I41" i="22"/>
  <c r="I42" i="22"/>
  <c r="M25" i="22"/>
  <c r="M24" i="22"/>
  <c r="N25" i="22"/>
  <c r="N24" i="22"/>
  <c r="K24" i="22"/>
  <c r="K25" i="22"/>
  <c r="P25" i="22"/>
  <c r="P24" i="22"/>
  <c r="L25" i="22"/>
  <c r="L24" i="22"/>
  <c r="O25" i="22"/>
  <c r="O24" i="22"/>
  <c r="J24" i="22"/>
  <c r="J25" i="22"/>
  <c r="G23" i="18"/>
  <c r="G79" i="18"/>
  <c r="G95" i="18"/>
  <c r="G15" i="18"/>
  <c r="G71" i="18"/>
  <c r="G87" i="18"/>
  <c r="G63" i="18"/>
  <c r="G55" i="18"/>
  <c r="G7" i="18"/>
  <c r="G47" i="18"/>
  <c r="G31" i="18"/>
  <c r="A40" i="18"/>
  <c r="G39" i="18"/>
  <c r="A32" i="18"/>
  <c r="H31" i="18"/>
  <c r="I31" i="18"/>
  <c r="H95" i="18"/>
  <c r="A72" i="18"/>
  <c r="H71" i="18"/>
  <c r="I71" i="18"/>
  <c r="A8" i="18"/>
  <c r="H7" i="18"/>
  <c r="I7" i="18"/>
  <c r="H47" i="18"/>
  <c r="A48" i="18"/>
  <c r="I47" i="18"/>
  <c r="A88" i="18"/>
  <c r="H87" i="18"/>
  <c r="I87" i="18"/>
  <c r="A24" i="18"/>
  <c r="H23" i="18"/>
  <c r="I23" i="18"/>
  <c r="A56" i="18"/>
  <c r="H55" i="18"/>
  <c r="I55" i="18"/>
  <c r="A80" i="18"/>
  <c r="H79" i="18"/>
  <c r="I79" i="18"/>
  <c r="H63" i="18"/>
  <c r="I63" i="18"/>
  <c r="A64" i="18"/>
  <c r="A16" i="18"/>
  <c r="H15" i="18"/>
  <c r="I15" i="18"/>
  <c r="A96" i="18"/>
  <c r="I95" i="18"/>
  <c r="B56" i="18" l="1"/>
  <c r="J56" i="18"/>
  <c r="B48" i="18"/>
  <c r="J48" i="18"/>
  <c r="B32" i="18"/>
  <c r="J32" i="18"/>
  <c r="B16" i="18"/>
  <c r="J16" i="18"/>
  <c r="B88" i="18"/>
  <c r="J88" i="18"/>
  <c r="B72" i="18"/>
  <c r="J72" i="18"/>
  <c r="B80" i="18"/>
  <c r="J80" i="18"/>
  <c r="B40" i="18"/>
  <c r="J40" i="18"/>
  <c r="B96" i="18"/>
  <c r="J96" i="18"/>
  <c r="B64" i="18"/>
  <c r="J64" i="18"/>
  <c r="B24" i="18"/>
  <c r="J24" i="18"/>
  <c r="B8" i="18"/>
  <c r="J8" i="18"/>
  <c r="G32" i="18"/>
  <c r="G24" i="18"/>
  <c r="G96" i="18"/>
  <c r="G72" i="18"/>
  <c r="G88" i="18"/>
  <c r="G48" i="18"/>
  <c r="G16" i="18"/>
  <c r="G56" i="18"/>
  <c r="G64" i="18"/>
  <c r="G80" i="18"/>
  <c r="G8" i="18"/>
  <c r="H40" i="18"/>
  <c r="G40" i="18"/>
  <c r="I40" i="18"/>
  <c r="A41" i="18"/>
  <c r="A25" i="18"/>
  <c r="H24" i="18"/>
  <c r="I24" i="18"/>
  <c r="H64" i="18"/>
  <c r="I64" i="18"/>
  <c r="A65" i="18"/>
  <c r="H48" i="18"/>
  <c r="I48" i="18"/>
  <c r="A49" i="18"/>
  <c r="H96" i="18"/>
  <c r="A57" i="18"/>
  <c r="H56" i="18"/>
  <c r="I56" i="18"/>
  <c r="A17" i="18"/>
  <c r="H16" i="18"/>
  <c r="I16" i="18"/>
  <c r="A81" i="18"/>
  <c r="H80" i="18"/>
  <c r="I80" i="18"/>
  <c r="A9" i="18"/>
  <c r="H8" i="18"/>
  <c r="I8" i="18"/>
  <c r="A73" i="18"/>
  <c r="H72" i="18"/>
  <c r="I72" i="18"/>
  <c r="A33" i="18"/>
  <c r="H32" i="18"/>
  <c r="I32" i="18"/>
  <c r="A89" i="18"/>
  <c r="H88" i="18"/>
  <c r="I88" i="18"/>
  <c r="A97" i="18"/>
  <c r="I96" i="18"/>
  <c r="B33" i="18" l="1"/>
  <c r="J33" i="18"/>
  <c r="B9" i="18"/>
  <c r="J9" i="18"/>
  <c r="B17" i="18"/>
  <c r="J17" i="18"/>
  <c r="B89" i="18"/>
  <c r="J89" i="18"/>
  <c r="B49" i="18"/>
  <c r="J49" i="18"/>
  <c r="B97" i="18"/>
  <c r="J97" i="18"/>
  <c r="B73" i="18"/>
  <c r="J73" i="18"/>
  <c r="B81" i="18"/>
  <c r="J81" i="18"/>
  <c r="B57" i="18"/>
  <c r="J57" i="18"/>
  <c r="B25" i="18"/>
  <c r="J25" i="18"/>
  <c r="B65" i="18"/>
  <c r="J65" i="18"/>
  <c r="B41" i="18"/>
  <c r="J41" i="18"/>
  <c r="G65" i="18"/>
  <c r="G25" i="18"/>
  <c r="G17" i="18"/>
  <c r="G49" i="18"/>
  <c r="G89" i="18"/>
  <c r="G33" i="18"/>
  <c r="G57" i="18"/>
  <c r="G73" i="18"/>
  <c r="G81" i="18"/>
  <c r="G97" i="18"/>
  <c r="G9" i="18"/>
  <c r="H41" i="18"/>
  <c r="G41" i="18"/>
  <c r="I41" i="18"/>
  <c r="H73" i="18"/>
  <c r="I73" i="18"/>
  <c r="H57" i="18"/>
  <c r="I57" i="18"/>
  <c r="H65" i="18"/>
  <c r="I65" i="18"/>
  <c r="H89" i="18"/>
  <c r="I89" i="18"/>
  <c r="H49" i="18"/>
  <c r="I49" i="18"/>
  <c r="H9" i="18"/>
  <c r="I9" i="18"/>
  <c r="H33" i="18"/>
  <c r="I33" i="18"/>
  <c r="H17" i="18"/>
  <c r="I17" i="18"/>
  <c r="H25" i="18"/>
  <c r="I25" i="18"/>
  <c r="H97" i="18"/>
  <c r="H81" i="18"/>
  <c r="I81" i="18"/>
  <c r="I97" i="18"/>
  <c r="H31" i="19"/>
  <c r="F2" i="18" l="1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L2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H:\192.168.0.12 OLAP_HASIL_PRODUKSI CUBE_HASIL_PRODUKSI.odc" keepAlive="1" name="192.168.0.12 OLAP_HASIL_PRODUKSI CUBE_HASIL_PRODUKSI" type="5" refreshedVersion="5" background="1">
    <dbPr connection="Provider=MSOLAP.5;Integrated Security=SSPI;Persist Security Info=True;Initial Catalog=OLAP_HASIL_PRODUKSI;Data Source=192.168.0.12;MDX Compatibility=1;Safety Options=2;MDX Missing Member Mode=Error" command="CUBE_HASIL_PRODUKSI" commandType="1"/>
    <olapPr sendLocale="1" rowDrillCount="1000"/>
  </connection>
  <connection id="2" xr16:uid="{00000000-0015-0000-FFFF-FFFF01000000}" odcFile="H:\192.168.0.12 OLAP_HASIL_PRODUKSI_PRODTABLE CUBE_HASILPRODUKSI.odc" keepAlive="1" interval="15" name="192.168.0.12 OLAP_HASIL_PRODUKSI_PRODTABLE CUBE_HASILPRODUKSI" type="5" refreshedVersion="5" background="1" saveData="1">
    <dbPr connection="Provider=MSOLAP.5;Integrated Security=SSPI;Persist Security Info=True;Initial Catalog=OLAP_HASIL_PRODUKSI_PRODTABLE;Data Source=192.168.0.12;MDX Compatibility=1;Safety Options=2;MDX Missing Member Mode=Error" command="CUBE_HASILPRODUKSI" commandType="1"/>
    <olapPr sendLocale="1" rowDrillCount="1000"/>
  </connection>
  <connection id="3" xr16:uid="{00000000-0015-0000-FFFF-FFFF02000000}" odcFile="\\192.168.0.40\data\BIG-BCV\big-bcv-mis006\3. Analis\192.168.0.12 OLAP_IJTRANSFER CUBE_IJTRANSFER.odc" keepAlive="1" name="192.168.0.12 OLAP_IJTRANSFER CUBE_IJTRANSFER" type="5" refreshedVersion="5" background="1">
    <dbPr connection="Provider=MSOLAP.5;Integrated Security=SSPI;Persist Security Info=True;Initial Catalog=OLAP_IJTRANSFER;Data Source=192.168.0.12;MDX Compatibility=1;Safety Options=2;MDX Missing Member Mode=Error" command="CUBE_IJTRANSFER" commandType="1"/>
    <olapPr sendLocale="1" rowDrillCount="1000"/>
  </connection>
  <connection id="4" xr16:uid="{00000000-0015-0000-FFFF-FFFF03000000}" odcFile="\\192.168.0.40\data\BIG-BCV\big-bcv-mis006\3. Analis\192.168.0.12 OLAP_IJTRANSFER CUBE_IJTRANSFER.odc" keepAlive="1" name="192.168.0.12 OLAP_IJTRANSFER CUBE_IJTRANSFER1" type="5" refreshedVersion="5" background="1">
    <dbPr connection="Provider=MSOLAP.5;Integrated Security=SSPI;Persist Security Info=True;Initial Catalog=OLAP_IJTRANSFER;Data Source=192.168.0.12;MDX Compatibility=1;Safety Options=2;MDX Missing Member Mode=Error" command="CUBE_IJTRANSFER" commandType="1"/>
    <olapPr sendLocale="1" rowDrillCount="1000"/>
  </connection>
  <connection id="5" xr16:uid="{00000000-0015-0000-FFFF-FFFF04000000}" odcFile="H:\192.168.0.12 OLAP_PRODUCT_COMSUMPTION CUBE_PRODUCT_CONSUMPT.odc" keepAlive="1" name="192.168.0.12 OLAP_PRODUCT_COMSUMPTION CUBE_PRODUCT_CONSUMPT" type="5" refreshedVersion="5" background="1">
    <dbPr connection="Provider=MSOLAP.5;Integrated Security=SSPI;Persist Security Info=True;Initial Catalog=OLAP_PRODUCT_COMSUMPTION;Data Source=192.168.0.12;MDX Compatibility=1;Safety Options=2;MDX Missing Member Mode=Error" command="CUBE_PRODUCT_CONSUMPT" commandType="1"/>
    <olapPr sendLocale="1" rowDrillCount="1000"/>
  </connection>
  <connection id="6" xr16:uid="{00000000-0015-0000-FFFF-FFFF05000000}" odcFile="H:\192.168.0.12 OLAP_REPORT_INVENTORY_JOURNAL_TRANSFER CUBEIJT.odc" keepAlive="1" name="192.168.0.12 OLAP_REPORT_INVENTORY_JOURNAL_TRANSFER CUBEIJT" type="5" refreshedVersion="5" background="1">
    <dbPr connection="Provider=MSOLAP.5;Integrated Security=SSPI;Persist Security Info=True;Initial Catalog=OLAP_REPORT_INVENTORY_JOURNAL_TRANSFER;Data Source=192.168.0.12;MDX Compatibility=1;Safety Options=2;MDX Missing Member Mode=Error" command="CUBEIJT" commandType="1"/>
    <olapPr sendLocale="1" rowDrillCount="1000"/>
  </connection>
</connections>
</file>

<file path=xl/sharedStrings.xml><?xml version="1.0" encoding="utf-8"?>
<sst xmlns="http://schemas.openxmlformats.org/spreadsheetml/2006/main" count="255" uniqueCount="61">
  <si>
    <t>Grand Total</t>
  </si>
  <si>
    <t>5</t>
  </si>
  <si>
    <t>6</t>
  </si>
  <si>
    <t>7</t>
  </si>
  <si>
    <t>2</t>
  </si>
  <si>
    <t>3</t>
  </si>
  <si>
    <t>1</t>
  </si>
  <si>
    <t>4</t>
  </si>
  <si>
    <t>10</t>
  </si>
  <si>
    <t>11</t>
  </si>
  <si>
    <t>12</t>
  </si>
  <si>
    <t>8</t>
  </si>
  <si>
    <t>9</t>
  </si>
  <si>
    <t>Bulan</t>
  </si>
  <si>
    <t>Cat Design</t>
  </si>
  <si>
    <t>Target</t>
  </si>
  <si>
    <t>Actual</t>
  </si>
  <si>
    <t>No Bulan</t>
  </si>
  <si>
    <t>%Capaian</t>
  </si>
  <si>
    <t>Hari Kerja (Weekend Minggu)</t>
  </si>
  <si>
    <t>Jumlah Hari Kerja (Weekend Minggu)</t>
  </si>
  <si>
    <t>Sum of Target</t>
  </si>
  <si>
    <t>Sum of Actual</t>
  </si>
  <si>
    <t>Row Labels</t>
  </si>
  <si>
    <t>Max of Hari Kerja (Weekend Minggu)</t>
  </si>
  <si>
    <t>Max of Jumlah Hari Kerja (Weekend Minggu)</t>
  </si>
  <si>
    <t>Target Per Hari Ini</t>
  </si>
  <si>
    <t>Produksi Minimal Besok Hari</t>
  </si>
  <si>
    <t>Target Bulan Ini</t>
  </si>
  <si>
    <t>Total Produksi</t>
  </si>
  <si>
    <t>Kekurangan</t>
  </si>
  <si>
    <t>Pct Bulan Ini</t>
  </si>
  <si>
    <t>Total Produksi Bulan Ini</t>
  </si>
  <si>
    <t>Pct Bulan Ini Per Hari Ini</t>
  </si>
  <si>
    <t>Hari Kerja Terpakai</t>
  </si>
  <si>
    <t>dari</t>
  </si>
  <si>
    <t>Target Besok</t>
  </si>
  <si>
    <t>%capaian Target</t>
  </si>
  <si>
    <t>Kurang / Lebih</t>
  </si>
  <si>
    <t>Column Labels</t>
  </si>
  <si>
    <t>Persentase Capaian Target Tiap Line Per Bulan</t>
  </si>
  <si>
    <t>Capaian Target Tiap Line Per Bulan</t>
  </si>
  <si>
    <t>Target Bulan Ini Per Hari Ini</t>
  </si>
  <si>
    <t>Hari Kerja (Weekend Sab Min)</t>
  </si>
  <si>
    <t>Jumlah Hari Kerja (Weekend Sab Min)</t>
  </si>
  <si>
    <t>Max of Hari Kerja (Weekend Sab Min)</t>
  </si>
  <si>
    <t>Max of Jumlah Hari Kerja (Weekend Sab Min)</t>
  </si>
  <si>
    <t>Dari</t>
  </si>
  <si>
    <t>Hari</t>
  </si>
  <si>
    <t>Addition</t>
  </si>
  <si>
    <t>%capaian Target (&gt;90%)</t>
  </si>
  <si>
    <t>%capaian Target (&gt;85% - &lt;=90%)</t>
  </si>
  <si>
    <t>%capaian Target (&lt;85%)</t>
  </si>
  <si>
    <t>LINE A</t>
  </si>
  <si>
    <t>LINE B</t>
  </si>
  <si>
    <t>LINE C</t>
  </si>
  <si>
    <t>LINE D</t>
  </si>
  <si>
    <t>LINE E</t>
  </si>
  <si>
    <t>LINE F</t>
  </si>
  <si>
    <t>LINE G</t>
  </si>
  <si>
    <t>LINE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</si>
</sst>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_);_(* \(#,##0\);_(* &quot;-&quot;_);_(@_)"/>
    <numFmt numFmtId="165" formatCode="0.0%"/>
    <numFmt numFmtId="166" formatCode="0.0000"/>
  </numFmts>
  <fonts count="20" x14ac:knownFonts="1"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b/>
      <sz val="14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0"/>
      <name val="Calibri"/>
      <family val="2"/>
      <charset val="1"/>
      <scheme val="minor"/>
    </font>
    <font>
      <b/>
      <sz val="20"/>
      <color theme="0"/>
      <name val="Calibri"/>
      <family val="2"/>
      <charset val="1"/>
      <scheme val="minor"/>
    </font>
    <font>
      <b/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5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medium">
        <color indexed="64"/>
      </diagonal>
    </border>
  </borders>
  <cellStyleXfs count="7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</cellStyleXfs>
  <cellXfs count="77">
    <xf numFmtId="0" fontId="0" fillId="0" borderId="0" xfId="0"/>
    <xf numFmtId="0" fontId="0" fillId="0" borderId="0" xfId="0" pivotButton="1"/>
    <xf numFmtId="0" fontId="5" fillId="0" borderId="0" xfId="0" applyFont="1"/>
    <xf numFmtId="3" fontId="0" fillId="0" borderId="0" xfId="0" applyNumberFormat="1"/>
    <xf numFmtId="14" fontId="0" fillId="0" borderId="0" xfId="0" applyNumberFormat="1"/>
    <xf numFmtId="22" fontId="0" fillId="0" borderId="0" xfId="0" applyNumberFormat="1"/>
    <xf numFmtId="22" fontId="6" fillId="0" borderId="0" xfId="0" applyNumberFormat="1" applyFont="1"/>
    <xf numFmtId="14" fontId="3" fillId="0" borderId="0" xfId="0" applyNumberFormat="1" applyFont="1"/>
    <xf numFmtId="0" fontId="3" fillId="0" borderId="0" xfId="0" applyFont="1"/>
    <xf numFmtId="165" fontId="3" fillId="0" borderId="0" xfId="2" applyNumberFormat="1" applyFont="1"/>
    <xf numFmtId="165" fontId="0" fillId="0" borderId="0" xfId="2" applyNumberFormat="1" applyFont="1"/>
    <xf numFmtId="166" fontId="0" fillId="0" borderId="0" xfId="0" applyNumberFormat="1"/>
    <xf numFmtId="10" fontId="0" fillId="0" borderId="0" xfId="2" applyNumberFormat="1" applyFont="1"/>
    <xf numFmtId="1" fontId="3" fillId="0" borderId="0" xfId="0" applyNumberFormat="1" applyFont="1"/>
    <xf numFmtId="1" fontId="0" fillId="0" borderId="0" xfId="0" applyNumberFormat="1"/>
    <xf numFmtId="22" fontId="8" fillId="0" borderId="0" xfId="0" applyNumberFormat="1" applyFont="1"/>
    <xf numFmtId="10" fontId="5" fillId="0" borderId="0" xfId="2" applyNumberFormat="1" applyFont="1"/>
    <xf numFmtId="165" fontId="5" fillId="0" borderId="0" xfId="2" applyNumberFormat="1" applyFont="1"/>
    <xf numFmtId="1" fontId="5" fillId="0" borderId="0" xfId="0" applyNumberFormat="1" applyFont="1"/>
    <xf numFmtId="0" fontId="6" fillId="3" borderId="0" xfId="0" applyFont="1" applyFill="1"/>
    <xf numFmtId="165" fontId="6" fillId="3" borderId="0" xfId="2" applyNumberFormat="1" applyFont="1" applyFill="1"/>
    <xf numFmtId="0" fontId="13" fillId="3" borderId="0" xfId="0" applyFont="1" applyFill="1"/>
    <xf numFmtId="0" fontId="12" fillId="3" borderId="0" xfId="0" applyFont="1" applyFill="1"/>
    <xf numFmtId="0" fontId="7" fillId="3" borderId="0" xfId="0" applyFont="1" applyFill="1" applyAlignment="1">
      <alignment horizontal="center"/>
    </xf>
    <xf numFmtId="1" fontId="7" fillId="3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165" fontId="10" fillId="0" borderId="0" xfId="2" applyNumberFormat="1" applyFont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5" fillId="0" borderId="0" xfId="0" applyNumberFormat="1" applyFont="1"/>
    <xf numFmtId="1" fontId="14" fillId="0" borderId="0" xfId="0" applyNumberFormat="1" applyFont="1"/>
    <xf numFmtId="0" fontId="16" fillId="0" borderId="0" xfId="0" applyFont="1" applyAlignment="1">
      <alignment horizontal="center"/>
    </xf>
    <xf numFmtId="1" fontId="17" fillId="0" borderId="0" xfId="0" applyNumberFormat="1" applyFont="1"/>
    <xf numFmtId="3" fontId="0" fillId="0" borderId="0" xfId="0" applyNumberFormat="1" applyAlignment="1">
      <alignment horizontal="left"/>
    </xf>
    <xf numFmtId="3" fontId="14" fillId="0" borderId="0" xfId="0" applyNumberFormat="1" applyFont="1"/>
    <xf numFmtId="0" fontId="0" fillId="4" borderId="0" xfId="0" applyFill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0" fontId="0" fillId="0" borderId="0" xfId="2" applyNumberFormat="1" applyFont="1" applyBorder="1"/>
    <xf numFmtId="10" fontId="0" fillId="0" borderId="4" xfId="2" applyNumberFormat="1" applyFont="1" applyBorder="1"/>
    <xf numFmtId="0" fontId="4" fillId="5" borderId="5" xfId="0" applyFont="1" applyFill="1" applyBorder="1"/>
    <xf numFmtId="0" fontId="4" fillId="5" borderId="6" xfId="0" applyFont="1" applyFill="1" applyBorder="1"/>
    <xf numFmtId="0" fontId="0" fillId="6" borderId="7" xfId="0" applyFill="1" applyBorder="1"/>
    <xf numFmtId="0" fontId="0" fillId="0" borderId="8" xfId="0" applyBorder="1"/>
    <xf numFmtId="10" fontId="0" fillId="0" borderId="6" xfId="2" applyNumberFormat="1" applyFont="1" applyBorder="1"/>
    <xf numFmtId="0" fontId="0" fillId="2" borderId="2" xfId="0" applyFill="1" applyBorder="1"/>
    <xf numFmtId="10" fontId="0" fillId="2" borderId="5" xfId="2" applyNumberFormat="1" applyFont="1" applyFill="1" applyBorder="1"/>
    <xf numFmtId="10" fontId="0" fillId="2" borderId="6" xfId="2" applyNumberFormat="1" applyFont="1" applyFill="1" applyBorder="1"/>
    <xf numFmtId="0" fontId="4" fillId="2" borderId="6" xfId="0" applyFont="1" applyFill="1" applyBorder="1"/>
    <xf numFmtId="1" fontId="0" fillId="0" borderId="0" xfId="2" applyNumberFormat="1" applyFont="1" applyBorder="1"/>
    <xf numFmtId="1" fontId="4" fillId="5" borderId="5" xfId="0" applyNumberFormat="1" applyFont="1" applyFill="1" applyBorder="1"/>
    <xf numFmtId="1" fontId="0" fillId="6" borderId="7" xfId="0" applyNumberFormat="1" applyFill="1" applyBorder="1"/>
    <xf numFmtId="1" fontId="0" fillId="2" borderId="2" xfId="0" applyNumberFormat="1" applyFill="1" applyBorder="1"/>
    <xf numFmtId="1" fontId="4" fillId="2" borderId="2" xfId="0" applyNumberFormat="1" applyFont="1" applyFill="1" applyBorder="1"/>
    <xf numFmtId="1" fontId="0" fillId="2" borderId="7" xfId="2" applyNumberFormat="1" applyFont="1" applyFill="1" applyBorder="1"/>
    <xf numFmtId="1" fontId="0" fillId="2" borderId="2" xfId="2" applyNumberFormat="1" applyFont="1" applyFill="1" applyBorder="1"/>
    <xf numFmtId="1" fontId="0" fillId="2" borderId="5" xfId="2" applyNumberFormat="1" applyFont="1" applyFill="1" applyBorder="1"/>
    <xf numFmtId="1" fontId="3" fillId="0" borderId="0" xfId="2" applyNumberFormat="1" applyFont="1"/>
    <xf numFmtId="1" fontId="0" fillId="0" borderId="0" xfId="2" applyNumberFormat="1" applyFont="1"/>
    <xf numFmtId="0" fontId="0" fillId="0" borderId="0" xfId="0" applyAlignment="1">
      <alignment horizontal="left"/>
    </xf>
    <xf numFmtId="165" fontId="15" fillId="7" borderId="0" xfId="2" applyNumberFormat="1" applyFont="1" applyFill="1"/>
    <xf numFmtId="165" fontId="14" fillId="7" borderId="0" xfId="2" applyNumberFormat="1" applyFont="1" applyFill="1"/>
    <xf numFmtId="165" fontId="19" fillId="8" borderId="0" xfId="2" applyNumberFormat="1" applyFont="1" applyFill="1"/>
    <xf numFmtId="165" fontId="19" fillId="7" borderId="0" xfId="2" applyNumberFormat="1" applyFont="1" applyFill="1"/>
    <xf numFmtId="3" fontId="9" fillId="0" borderId="0" xfId="0" applyNumberFormat="1" applyFont="1" applyAlignment="1">
      <alignment horizontal="center" vertical="center"/>
    </xf>
    <xf numFmtId="164" fontId="12" fillId="3" borderId="0" xfId="1" applyFont="1" applyFill="1" applyAlignment="1">
      <alignment horizontal="center" vertical="center"/>
    </xf>
    <xf numFmtId="164" fontId="9" fillId="0" borderId="0" xfId="1" applyFont="1" applyAlignment="1">
      <alignment horizontal="center" vertical="center"/>
    </xf>
    <xf numFmtId="164" fontId="7" fillId="3" borderId="0" xfId="1" applyFont="1" applyFill="1" applyAlignment="1">
      <alignment horizontal="center" vertical="center"/>
    </xf>
    <xf numFmtId="164" fontId="7" fillId="3" borderId="0" xfId="1" applyFont="1" applyFill="1" applyAlignment="1">
      <alignment horizontal="center"/>
    </xf>
    <xf numFmtId="164" fontId="5" fillId="0" borderId="0" xfId="1" applyFont="1"/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</cellXfs>
  <cellStyles count="7">
    <cellStyle name="Comma [0]" xfId="1" builtinId="6"/>
    <cellStyle name="Comma [0] 2" xfId="4" xr:uid="{00000000-0005-0000-0000-000001000000}"/>
    <cellStyle name="Normal" xfId="0" builtinId="0"/>
    <cellStyle name="Normal 2" xfId="3" xr:uid="{00000000-0005-0000-0000-000004000000}"/>
    <cellStyle name="Normal 3 3" xfId="6" xr:uid="{00000000-0005-0000-0000-000005000000}"/>
    <cellStyle name="Percent" xfId="2" builtinId="5"/>
    <cellStyle name="Percent 2" xfId="5" xr:uid="{00000000-0005-0000-0000-000007000000}"/>
  </cellStyles>
  <dxfs count="23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numFmt numFmtId="165" formatCode="0.0%"/>
    </dxf>
    <dxf>
      <numFmt numFmtId="1" formatCode="0"/>
    </dxf>
    <dxf>
      <numFmt numFmtId="0" formatCode="General"/>
    </dxf>
    <dxf>
      <numFmt numFmtId="19" formatCode="dd/mm/yyyy"/>
    </dxf>
    <dxf>
      <font>
        <b val="0"/>
      </font>
    </dxf>
    <dxf>
      <numFmt numFmtId="1" formatCode="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512510936132983"/>
          <c:y val="0.16708333333333336"/>
          <c:w val="0.46641666666666665"/>
          <c:h val="0.7773611111111110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DA0-4938-9272-295C4067780B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DA0-4938-9272-295C4067780B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DA0-4938-9272-295C4067780B}"/>
              </c:ext>
            </c:extLst>
          </c:dPt>
          <c:dLbls>
            <c:dLbl>
              <c:idx val="0"/>
              <c:layout>
                <c:manualLayout>
                  <c:x val="-0.16666666666666663"/>
                  <c:y val="-5.5555555555555601E-2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d-ID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DA0-4938-9272-295C4067780B}"/>
                </c:ext>
              </c:extLst>
            </c:dLbl>
            <c:dLbl>
              <c:idx val="1"/>
              <c:layout>
                <c:manualLayout>
                  <c:x val="0.14722222222222223"/>
                  <c:y val="-8.7962962962962965E-2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d-ID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A0-4938-9272-295C4067780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DA0-4938-9272-295C406778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KPI!$E$6:$E$8</c:f>
              <c:numCache>
                <c:formatCode>_(* #,##0_);_(* \(#,##0\);_(* "-"_);_(@_)</c:formatCode>
                <c:ptCount val="3"/>
                <c:pt idx="0">
                  <c:v>39763832</c:v>
                </c:pt>
                <c:pt idx="1">
                  <c:v>15268707</c:v>
                </c:pt>
                <c:pt idx="2">
                  <c:v>55032539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A0-4938-9272-295C4067780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512510936132983"/>
          <c:y val="0.16708333333333336"/>
          <c:w val="0.46641666666666665"/>
          <c:h val="0.77736111111111106"/>
        </c:manualLayout>
      </c:layout>
      <c:doughnutChart>
        <c:varyColors val="1"/>
        <c:ser>
          <c:idx val="0"/>
          <c:order val="0"/>
          <c:spPr>
            <a:solidFill>
              <a:schemeClr val="accent6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AA-4C0C-B9E9-E4AB796BFFF1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8AA-4C0C-B9E9-E4AB796BFFF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8AA-4C0C-B9E9-E4AB796BFFF1}"/>
              </c:ext>
            </c:extLst>
          </c:dPt>
          <c:dLbls>
            <c:dLbl>
              <c:idx val="0"/>
              <c:layout>
                <c:manualLayout>
                  <c:x val="-0.14492753623188406"/>
                  <c:y val="-0.1166666666666666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AA-4C0C-B9E9-E4AB796BFFF1}"/>
                </c:ext>
              </c:extLst>
            </c:dLbl>
            <c:dLbl>
              <c:idx val="1"/>
              <c:layout>
                <c:manualLayout>
                  <c:x val="0.11594202898550716"/>
                  <c:y val="-0.1833333333333333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AA-4C0C-B9E9-E4AB796BFFF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AA-4C0C-B9E9-E4AB796BFFF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KPI!$H$30:$H$32</c:f>
              <c:numCache>
                <c:formatCode>_(* #,##0_);_(* \(#,##0\);_(* "-"_);_(@_)</c:formatCode>
                <c:ptCount val="3"/>
                <c:pt idx="0">
                  <c:v>3292452</c:v>
                </c:pt>
                <c:pt idx="1">
                  <c:v>5585457</c:v>
                </c:pt>
                <c:pt idx="2">
                  <c:v>8877909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AA-4C0C-B9E9-E4AB796BFF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512510936132983"/>
          <c:y val="0.16708333333333336"/>
          <c:w val="0.46641666666666665"/>
          <c:h val="0.7773611111111110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D4-4259-BC24-4FB5618240B1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7D4-4259-BC24-4FB5618240B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7D4-4259-BC24-4FB5618240B1}"/>
              </c:ext>
            </c:extLst>
          </c:dPt>
          <c:dLbls>
            <c:dLbl>
              <c:idx val="0"/>
              <c:layout>
                <c:manualLayout>
                  <c:x val="-0.10144927536231885"/>
                  <c:y val="-0.1500000000000000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7D4-4259-BC24-4FB5618240B1}"/>
                </c:ext>
              </c:extLst>
            </c:dLbl>
            <c:dLbl>
              <c:idx val="1"/>
              <c:layout>
                <c:manualLayout>
                  <c:x val="0.14968913735424233"/>
                  <c:y val="-0.2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09178743961352"/>
                      <c:h val="0.2996253280839895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7D4-4259-BC24-4FB5618240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7D4-4259-BC24-4FB5618240B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KPI!$G$38:$G$40</c:f>
              <c:strCache>
                <c:ptCount val="3"/>
                <c:pt idx="0">
                  <c:v>Total Produksi Bulan Ini</c:v>
                </c:pt>
                <c:pt idx="1">
                  <c:v>Kekurangan</c:v>
                </c:pt>
                <c:pt idx="2">
                  <c:v>Target Per Hari Ini</c:v>
                </c:pt>
              </c:strCache>
            </c:strRef>
          </c:cat>
          <c:val>
            <c:numRef>
              <c:f>KPI!$H$38:$H$40</c:f>
              <c:numCache>
                <c:formatCode>_(* #,##0_);_(* \(#,##0\);_(* "-"_);_(@_)</c:formatCode>
                <c:ptCount val="3"/>
                <c:pt idx="0">
                  <c:v>3292452</c:v>
                </c:pt>
                <c:pt idx="1">
                  <c:v>5585457</c:v>
                </c:pt>
                <c:pt idx="2">
                  <c:v>8877909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7D4-4259-BC24-4FB5618240B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0A-400B-A80A-9C445D941A46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0A-400B-A80A-9C445D941A46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0A-400B-A80A-9C445D941A46}"/>
              </c:ext>
            </c:extLst>
          </c:dPt>
          <c:dLbls>
            <c:dLbl>
              <c:idx val="0"/>
              <c:layout>
                <c:manualLayout>
                  <c:x val="-3.3120320486255003E-2"/>
                  <c:y val="-0.18722230971128609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d-ID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806050559469538"/>
                      <c:h val="9.97999999999999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60A-400B-A80A-9C445D941A4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0A-400B-A80A-9C445D941A4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0A-400B-A80A-9C445D941A46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'Target Per Line'!$E$3:$E$5</c:f>
              <c:strCache>
                <c:ptCount val="3"/>
                <c:pt idx="0">
                  <c:v>Total Produksi</c:v>
                </c:pt>
                <c:pt idx="1">
                  <c:v>Kekurangan</c:v>
                </c:pt>
                <c:pt idx="2">
                  <c:v>Target</c:v>
                </c:pt>
              </c:strCache>
            </c:strRef>
          </c:cat>
          <c:val>
            <c:numRef>
              <c:f>'Target Per Line'!$F$3:$F$5</c:f>
              <c:numCache>
                <c:formatCode>0</c:formatCode>
                <c:ptCount val="3"/>
                <c:pt idx="0" formatCode="General">
                  <c:v>6559965</c:v>
                </c:pt>
                <c:pt idx="1">
                  <c:v>1605985</c:v>
                </c:pt>
                <c:pt idx="2">
                  <c:v>8165950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0A-400B-A80A-9C445D941A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EE1-4280-B3EF-9D59FA9353B2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EE1-4280-B3EF-9D59FA9353B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EE1-4280-B3EF-9D59FA9353B2}"/>
              </c:ext>
            </c:extLst>
          </c:dPt>
          <c:dLbls>
            <c:dLbl>
              <c:idx val="0"/>
              <c:layout>
                <c:manualLayout>
                  <c:x val="-6.94545956875008E-2"/>
                  <c:y val="-0.17265590551181101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d-ID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806050559469538"/>
                      <c:h val="9.44881889763779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EE1-4280-B3EF-9D59FA9353B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E1-4280-B3EF-9D59FA9353B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EE1-4280-B3EF-9D59FA9353B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'Target Per Line'!$E$3:$E$5</c:f>
              <c:strCache>
                <c:ptCount val="3"/>
                <c:pt idx="0">
                  <c:v>Total Produksi</c:v>
                </c:pt>
                <c:pt idx="1">
                  <c:v>Kekurangan</c:v>
                </c:pt>
                <c:pt idx="2">
                  <c:v>Target</c:v>
                </c:pt>
              </c:strCache>
            </c:strRef>
          </c:cat>
          <c:val>
            <c:numRef>
              <c:f>'Target Per Line'!$H$3:$H$5</c:f>
              <c:numCache>
                <c:formatCode>0</c:formatCode>
                <c:ptCount val="3"/>
                <c:pt idx="0" formatCode="General">
                  <c:v>23698199</c:v>
                </c:pt>
                <c:pt idx="1">
                  <c:v>9942341</c:v>
                </c:pt>
                <c:pt idx="2">
                  <c:v>33640540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EE1-4280-B3EF-9D59FA9353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C2B-49F9-8512-44AE777C775F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C2B-49F9-8512-44AE777C775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C2B-49F9-8512-44AE777C775F}"/>
              </c:ext>
            </c:extLst>
          </c:dPt>
          <c:dLbls>
            <c:dLbl>
              <c:idx val="0"/>
              <c:layout>
                <c:manualLayout>
                  <c:x val="-0.10612847078325735"/>
                  <c:y val="-0.19598950131233595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d-ID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806050559469538"/>
                      <c:h val="9.44881889763779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C2B-49F9-8512-44AE777C775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2B-49F9-8512-44AE777C775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C2B-49F9-8512-44AE777C775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'Target Per Line'!$E$3:$E$5</c:f>
              <c:strCache>
                <c:ptCount val="3"/>
                <c:pt idx="0">
                  <c:v>Total Produksi</c:v>
                </c:pt>
                <c:pt idx="1">
                  <c:v>Kekurangan</c:v>
                </c:pt>
                <c:pt idx="2">
                  <c:v>Target</c:v>
                </c:pt>
              </c:strCache>
            </c:strRef>
          </c:cat>
          <c:val>
            <c:numRef>
              <c:f>'Target Per Line'!$I$3:$I$5</c:f>
              <c:numCache>
                <c:formatCode>0</c:formatCode>
                <c:ptCount val="3"/>
                <c:pt idx="0" formatCode="General">
                  <c:v>1820277</c:v>
                </c:pt>
                <c:pt idx="1">
                  <c:v>1828949</c:v>
                </c:pt>
                <c:pt idx="2">
                  <c:v>3649226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2B-49F9-8512-44AE777C77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73-4FBF-9A30-9ABA9DE848EB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373-4FBF-9A30-9ABA9DE848EB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73-4FBF-9A30-9ABA9DE848EB}"/>
              </c:ext>
            </c:extLst>
          </c:dPt>
          <c:dLbls>
            <c:dLbl>
              <c:idx val="0"/>
              <c:layout>
                <c:manualLayout>
                  <c:x val="-0.11172869180826082"/>
                  <c:y val="-0.1666666666666666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806050559469538"/>
                      <c:h val="9.32335958005249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373-4FBF-9A30-9ABA9DE848E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73-4FBF-9A30-9ABA9DE848E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73-4FBF-9A30-9ABA9DE848EB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'Target Per Line'!$E$3:$E$5</c:f>
              <c:strCache>
                <c:ptCount val="3"/>
                <c:pt idx="0">
                  <c:v>Total Produksi</c:v>
                </c:pt>
                <c:pt idx="1">
                  <c:v>Kekurangan</c:v>
                </c:pt>
                <c:pt idx="2">
                  <c:v>Target</c:v>
                </c:pt>
              </c:strCache>
            </c:strRef>
          </c:cat>
          <c:val>
            <c:numRef>
              <c:f>'Target Per Line'!$J$3:$J$5</c:f>
              <c:numCache>
                <c:formatCode>0</c:formatCode>
                <c:ptCount val="3"/>
                <c:pt idx="0" formatCode="General">
                  <c:v>96294</c:v>
                </c:pt>
                <c:pt idx="1">
                  <c:v>288086</c:v>
                </c:pt>
                <c:pt idx="2">
                  <c:v>384380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73-4FBF-9A30-9ABA9DE848E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97-4F66-9652-7B04980676CA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97-4F66-9652-7B04980676C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497-4F66-9652-7B04980676CA}"/>
              </c:ext>
            </c:extLst>
          </c:dPt>
          <c:dLbls>
            <c:dLbl>
              <c:idx val="0"/>
              <c:layout>
                <c:manualLayout>
                  <c:x val="-9.039259566238432E-2"/>
                  <c:y val="-0.18333333333333332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d-ID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806050559469538"/>
                      <c:h val="9.313333333333333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497-4F66-9652-7B04980676C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97-4F66-9652-7B04980676C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497-4F66-9652-7B04980676C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'Target Per Line'!$E$3:$E$5</c:f>
              <c:strCache>
                <c:ptCount val="3"/>
                <c:pt idx="0">
                  <c:v>Total Produksi</c:v>
                </c:pt>
                <c:pt idx="1">
                  <c:v>Kekurangan</c:v>
                </c:pt>
                <c:pt idx="2">
                  <c:v>Target</c:v>
                </c:pt>
              </c:strCache>
            </c:strRef>
          </c:cat>
          <c:val>
            <c:numRef>
              <c:f>'Target Per Line'!$K$3:$K$5</c:f>
              <c:numCache>
                <c:formatCode>0</c:formatCode>
                <c:ptCount val="3"/>
                <c:pt idx="0" formatCode="General">
                  <c:v>1665236</c:v>
                </c:pt>
                <c:pt idx="1">
                  <c:v>176614</c:v>
                </c:pt>
                <c:pt idx="2">
                  <c:v>1841850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97-4F66-9652-7B04980676C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EC-47BC-B4D8-329866D0C664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EC-47BC-B4D8-329866D0C66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EC-47BC-B4D8-329866D0C664}"/>
              </c:ext>
            </c:extLst>
          </c:dPt>
          <c:dLbls>
            <c:dLbl>
              <c:idx val="0"/>
              <c:layout>
                <c:manualLayout>
                  <c:x val="-7.0324797917006854E-3"/>
                  <c:y val="-0.18265590551181107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d-ID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806050559469538"/>
                      <c:h val="9.44881889763779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AEC-47BC-B4D8-329866D0C66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EC-47BC-B4D8-329866D0C66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AEC-47BC-B4D8-329866D0C66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'Target Per Line'!$E$3:$E$5</c:f>
              <c:strCache>
                <c:ptCount val="3"/>
                <c:pt idx="0">
                  <c:v>Total Produksi</c:v>
                </c:pt>
                <c:pt idx="1">
                  <c:v>Kekurangan</c:v>
                </c:pt>
                <c:pt idx="2">
                  <c:v>Target</c:v>
                </c:pt>
              </c:strCache>
            </c:strRef>
          </c:cat>
          <c:val>
            <c:numRef>
              <c:f>'Target Per Line'!$L$3:$L$5</c:f>
              <c:numCache>
                <c:formatCode>0</c:formatCode>
                <c:ptCount val="3"/>
                <c:pt idx="0" formatCode="General">
                  <c:v>3144432</c:v>
                </c:pt>
                <c:pt idx="1">
                  <c:v>456641</c:v>
                </c:pt>
                <c:pt idx="2">
                  <c:v>3601073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EC-47BC-B4D8-329866D0C66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9-4EAF-BBE4-6F3F0F099F49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589-4EAF-BBE4-6F3F0F099F4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589-4EAF-BBE4-6F3F0F099F49}"/>
              </c:ext>
            </c:extLst>
          </c:dPt>
          <c:dLbls>
            <c:dLbl>
              <c:idx val="0"/>
              <c:layout>
                <c:manualLayout>
                  <c:x val="-0.10953115071142423"/>
                  <c:y val="-0.19598950131233595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d-ID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806050559469538"/>
                      <c:h val="9.44881889763779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589-4EAF-BBE4-6F3F0F099F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89-4EAF-BBE4-6F3F0F099F4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89-4EAF-BBE4-6F3F0F099F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'Target Per Line'!$E$3:$E$5</c:f>
              <c:strCache>
                <c:ptCount val="3"/>
                <c:pt idx="0">
                  <c:v>Total Produksi</c:v>
                </c:pt>
                <c:pt idx="1">
                  <c:v>Kekurangan</c:v>
                </c:pt>
                <c:pt idx="2">
                  <c:v>Target</c:v>
                </c:pt>
              </c:strCache>
            </c:strRef>
          </c:cat>
          <c:val>
            <c:numRef>
              <c:f>'Target Per Line'!$M$3:$M$5</c:f>
              <c:numCache>
                <c:formatCode>0</c:formatCode>
                <c:ptCount val="3"/>
                <c:pt idx="0" formatCode="General">
                  <c:v>2779429</c:v>
                </c:pt>
                <c:pt idx="1">
                  <c:v>970091</c:v>
                </c:pt>
                <c:pt idx="2">
                  <c:v>3749520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89-4EAF-BBE4-6F3F0F099F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CF-419E-AA76-EF2B5E4B3DE3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CF-419E-AA76-EF2B5E4B3DE3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3CF-419E-AA76-EF2B5E4B3DE3}"/>
              </c:ext>
            </c:extLst>
          </c:dPt>
          <c:dLbls>
            <c:dLbl>
              <c:idx val="0"/>
              <c:layout>
                <c:manualLayout>
                  <c:x val="-7.6848021832302119E-2"/>
                  <c:y val="-0.17333333333333337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d-ID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806050559469538"/>
                      <c:h val="9.44881889763779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3CF-419E-AA76-EF2B5E4B3DE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CF-419E-AA76-EF2B5E4B3DE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3CF-419E-AA76-EF2B5E4B3D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'Target Per Line'!$I$19:$I$21</c:f>
              <c:numCache>
                <c:formatCode>0</c:formatCode>
                <c:ptCount val="3"/>
                <c:pt idx="0" formatCode="General">
                  <c:v>596475</c:v>
                </c:pt>
                <c:pt idx="1">
                  <c:v>448425</c:v>
                </c:pt>
                <c:pt idx="2">
                  <c:v>1044900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CF-419E-AA76-EF2B5E4B3D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CA-43DD-8A05-A3A150A64721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CA-43DD-8A05-A3A150A6472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ACA-43DD-8A05-A3A150A64721}"/>
              </c:ext>
            </c:extLst>
          </c:dPt>
          <c:dLbls>
            <c:dLbl>
              <c:idx val="0"/>
              <c:layout>
                <c:manualLayout>
                  <c:x val="-4.912280701754386E-2"/>
                  <c:y val="-0.166666666666666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806050559469538"/>
                      <c:h val="9.32335958005249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ACA-43DD-8A05-A3A150A6472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CA-43DD-8A05-A3A150A6472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ACA-43DD-8A05-A3A150A6472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'Target Per Line'!$L$19:$L$21</c:f>
              <c:numCache>
                <c:formatCode>0</c:formatCode>
                <c:ptCount val="3"/>
                <c:pt idx="0" formatCode="General">
                  <c:v>114640</c:v>
                </c:pt>
                <c:pt idx="1">
                  <c:v>492176</c:v>
                </c:pt>
                <c:pt idx="2">
                  <c:v>606816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CA-43DD-8A05-A3A150A647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A21-4310-BFBE-D6FFFD958C6E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A21-4310-BFBE-D6FFFD958C6E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A21-4310-BFBE-D6FFFD958C6E}"/>
              </c:ext>
            </c:extLst>
          </c:dPt>
          <c:dLbls>
            <c:dLbl>
              <c:idx val="0"/>
              <c:layout>
                <c:manualLayout>
                  <c:x val="-0.22181185246581023"/>
                  <c:y val="-0.13598923884514438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d-ID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806050559469538"/>
                      <c:h val="9.44881889763779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A21-4310-BFBE-D6FFFD958C6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21-4310-BFBE-D6FFFD958C6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21-4310-BFBE-D6FFFD958C6E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'Target Per Line'!$K$19:$K$21</c:f>
              <c:numCache>
                <c:formatCode>0</c:formatCode>
                <c:ptCount val="3"/>
                <c:pt idx="0" formatCode="General">
                  <c:v>1608390</c:v>
                </c:pt>
                <c:pt idx="1">
                  <c:v>3701250</c:v>
                </c:pt>
                <c:pt idx="2">
                  <c:v>5309640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1-4310-BFBE-D6FFFD958C6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FE1-4D04-BA03-03C03633C99C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FE1-4D04-BA03-03C03633C99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E1-4D04-BA03-03C03633C99C}"/>
              </c:ext>
            </c:extLst>
          </c:dPt>
          <c:dLbls>
            <c:dLbl>
              <c:idx val="0"/>
              <c:layout>
                <c:manualLayout>
                  <c:x val="1.1735303945366328E-2"/>
                  <c:y val="-0.32666666666666666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d-ID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806050559469538"/>
                      <c:h val="9.32335958005249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FE1-4D04-BA03-03C03633C99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E1-4D04-BA03-03C03633C99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1-4D04-BA03-03C03633C9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'Target Per Line'!$M$19:$M$21</c:f>
              <c:numCache>
                <c:formatCode>0</c:formatCode>
                <c:ptCount val="3"/>
                <c:pt idx="0" formatCode="General">
                  <c:v>5780</c:v>
                </c:pt>
                <c:pt idx="1">
                  <c:v>112900</c:v>
                </c:pt>
                <c:pt idx="2">
                  <c:v>118680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E1-4D04-BA03-03C03633C99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5B9-4147-A5AF-18E99FABA914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5B9-4147-A5AF-18E99FABA91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5B9-4147-A5AF-18E99FABA914}"/>
              </c:ext>
            </c:extLst>
          </c:dPt>
          <c:dLbls>
            <c:dLbl>
              <c:idx val="0"/>
              <c:layout>
                <c:manualLayout>
                  <c:x val="3.0819726481558188E-2"/>
                  <c:y val="-0.1733333333333333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806050559469538"/>
                      <c:h val="9.32335958005249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5B9-4147-A5AF-18E99FABA91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B9-4147-A5AF-18E99FABA91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B9-4147-A5AF-18E99FABA91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'Target Per Line'!$N$19:$N$21</c:f>
              <c:numCache>
                <c:formatCode>0</c:formatCode>
                <c:ptCount val="3"/>
                <c:pt idx="0" formatCode="General">
                  <c:v>100932</c:v>
                </c:pt>
                <c:pt idx="1">
                  <c:v>202218</c:v>
                </c:pt>
                <c:pt idx="2">
                  <c:v>303150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5B9-4147-A5AF-18E99FABA9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E3B-4CDA-A709-FCD8E14B0374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E3B-4CDA-A709-FCD8E14B037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E3B-4CDA-A709-FCD8E14B0374}"/>
              </c:ext>
            </c:extLst>
          </c:dPt>
          <c:dLbls>
            <c:dLbl>
              <c:idx val="0"/>
              <c:layout>
                <c:manualLayout>
                  <c:x val="-3.2338168255283892E-2"/>
                  <c:y val="-0.18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d-ID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806050559469538"/>
                      <c:h val="9.32335958005249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E3B-4CDA-A709-FCD8E14B037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3B-4CDA-A709-FCD8E14B037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E3B-4CDA-A709-FCD8E14B03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'Target Per Line'!$O$19:$O$21</c:f>
              <c:numCache>
                <c:formatCode>0</c:formatCode>
                <c:ptCount val="3"/>
                <c:pt idx="0" formatCode="General">
                  <c:v>423450</c:v>
                </c:pt>
                <c:pt idx="1">
                  <c:v>390153.00000000012</c:v>
                </c:pt>
                <c:pt idx="2">
                  <c:v>813603.00000000012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3B-4CDA-A709-FCD8E14B03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4B1-4AC6-83F3-2229ADD51AA4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4B1-4AC6-83F3-2229ADD51AA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4B1-4AC6-83F3-2229ADD51AA4}"/>
              </c:ext>
            </c:extLst>
          </c:dPt>
          <c:dLbls>
            <c:dLbl>
              <c:idx val="0"/>
              <c:layout>
                <c:manualLayout>
                  <c:x val="-0.11228070175438597"/>
                  <c:y val="-0.17333333333333337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d-ID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806050559469538"/>
                      <c:h val="9.44881889763779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B1-4AC6-83F3-2229ADD51AA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B1-4AC6-83F3-2229ADD51AA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B1-4AC6-83F3-2229ADD51AA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'Target Per Line'!$P$19:$P$21</c:f>
              <c:numCache>
                <c:formatCode>0</c:formatCode>
                <c:ptCount val="3"/>
                <c:pt idx="0" formatCode="General">
                  <c:v>442785</c:v>
                </c:pt>
                <c:pt idx="1">
                  <c:v>238335</c:v>
                </c:pt>
                <c:pt idx="2">
                  <c:v>681120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B1-4AC6-83F3-2229ADD51A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190499</xdr:rowOff>
    </xdr:from>
    <xdr:to>
      <xdr:col>21</xdr:col>
      <xdr:colOff>95250</xdr:colOff>
      <xdr:row>43</xdr:row>
      <xdr:rowOff>114300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3371850" y="380999"/>
          <a:ext cx="9525000" cy="7924801"/>
        </a:xfrm>
        <a:prstGeom prst="roundRect">
          <a:avLst>
            <a:gd name="adj" fmla="val 355"/>
          </a:avLst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d-ID" sz="2800" b="1">
              <a:solidFill>
                <a:schemeClr val="accent6">
                  <a:lumMod val="50000"/>
                </a:schemeClr>
              </a:solidFill>
            </a:rPr>
            <a:t>Dashboard Target</a:t>
          </a:r>
          <a:r>
            <a:rPr lang="id-ID" sz="2800" b="1" baseline="0">
              <a:solidFill>
                <a:schemeClr val="accent6">
                  <a:lumMod val="50000"/>
                </a:schemeClr>
              </a:solidFill>
            </a:rPr>
            <a:t> </a:t>
          </a:r>
          <a:r>
            <a:rPr lang="id-ID" sz="2800" b="1">
              <a:solidFill>
                <a:schemeClr val="accent6">
                  <a:lumMod val="50000"/>
                </a:schemeClr>
              </a:solidFill>
            </a:rPr>
            <a:t>Monitoring</a:t>
          </a:r>
        </a:p>
      </xdr:txBody>
    </xdr:sp>
    <xdr:clientData/>
  </xdr:twoCellAnchor>
  <xdr:twoCellAnchor>
    <xdr:from>
      <xdr:col>5</xdr:col>
      <xdr:colOff>382680</xdr:colOff>
      <xdr:row>5</xdr:row>
      <xdr:rowOff>47625</xdr:rowOff>
    </xdr:from>
    <xdr:to>
      <xdr:col>21</xdr:col>
      <xdr:colOff>363631</xdr:colOff>
      <xdr:row>14</xdr:row>
      <xdr:rowOff>133350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pSpPr/>
      </xdr:nvGrpSpPr>
      <xdr:grpSpPr>
        <a:xfrm>
          <a:off x="3432820" y="1010827"/>
          <a:ext cx="9741401" cy="1819489"/>
          <a:chOff x="3419474" y="1019175"/>
          <a:chExt cx="9734551" cy="1800225"/>
        </a:xfrm>
      </xdr:grpSpPr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GrpSpPr/>
        </xdr:nvGrpSpPr>
        <xdr:grpSpPr>
          <a:xfrm>
            <a:off x="3419474" y="1019175"/>
            <a:ext cx="5000626" cy="1800225"/>
            <a:chOff x="3419474" y="257175"/>
            <a:chExt cx="5000626" cy="1800225"/>
          </a:xfrm>
        </xdr:grpSpPr>
        <xdr:sp macro="" textlink="">
          <xdr:nvSpPr>
            <xdr:cNvPr id="4" name="Rounded Rectangle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SpPr/>
          </xdr:nvSpPr>
          <xdr:spPr>
            <a:xfrm>
              <a:off x="3419474" y="257175"/>
              <a:ext cx="4705351" cy="1323974"/>
            </a:xfrm>
            <a:prstGeom prst="roundRect">
              <a:avLst>
                <a:gd name="adj" fmla="val 3847"/>
              </a:avLst>
            </a:prstGeom>
            <a:solidFill>
              <a:schemeClr val="accent1">
                <a:lumMod val="40000"/>
                <a:lumOff val="60000"/>
              </a:schemeClr>
            </a:solidFill>
            <a:ln w="38100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d-ID" sz="1800" b="1">
                  <a:solidFill>
                    <a:schemeClr val="accent1">
                      <a:lumMod val="50000"/>
                    </a:schemeClr>
                  </a:solidFill>
                </a:rPr>
                <a:t>Target All Period</a:t>
              </a:r>
            </a:p>
          </xdr:txBody>
        </xdr:sp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900-00000A000000}"/>
                </a:ext>
              </a:extLst>
            </xdr:cNvPr>
            <xdr:cNvGrpSpPr/>
          </xdr:nvGrpSpPr>
          <xdr:grpSpPr>
            <a:xfrm>
              <a:off x="3500438" y="704850"/>
              <a:ext cx="2686050" cy="762000"/>
              <a:chOff x="3500438" y="685800"/>
              <a:chExt cx="2686050" cy="762000"/>
            </a:xfrm>
          </xdr:grpSpPr>
          <xdr:sp macro="" textlink="">
            <xdr:nvSpPr>
              <xdr:cNvPr id="5" name="Rounded Rectangle 4">
                <a:extLst>
                  <a:ext uri="{FF2B5EF4-FFF2-40B4-BE49-F238E27FC236}">
                    <a16:creationId xmlns:a16="http://schemas.microsoft.com/office/drawing/2014/main" id="{00000000-0008-0000-0900-000005000000}"/>
                  </a:ext>
                </a:extLst>
              </xdr:cNvPr>
              <xdr:cNvSpPr/>
            </xdr:nvSpPr>
            <xdr:spPr>
              <a:xfrm>
                <a:off x="3500438" y="685800"/>
                <a:ext cx="1295400" cy="762000"/>
              </a:xfrm>
              <a:prstGeom prst="roundRect">
                <a:avLst>
                  <a:gd name="adj" fmla="val 2537"/>
                </a:avLst>
              </a:prstGeom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rIns="0" rtlCol="0" anchor="t"/>
              <a:lstStyle/>
              <a:p>
                <a:pPr algn="ctr"/>
                <a:r>
                  <a:rPr lang="id-ID" sz="1200" b="1"/>
                  <a:t>Total Produksi</a:t>
                </a:r>
              </a:p>
            </xdr:txBody>
          </xdr:sp>
          <xdr:sp macro="" textlink="KPI!$E$6">
            <xdr:nvSpPr>
              <xdr:cNvPr id="3" name="Rounded Rectangle 2">
                <a:extLst>
                  <a:ext uri="{FF2B5EF4-FFF2-40B4-BE49-F238E27FC236}">
                    <a16:creationId xmlns:a16="http://schemas.microsoft.com/office/drawing/2014/main" id="{00000000-0008-0000-0900-000003000000}"/>
                  </a:ext>
                </a:extLst>
              </xdr:cNvPr>
              <xdr:cNvSpPr/>
            </xdr:nvSpPr>
            <xdr:spPr>
              <a:xfrm>
                <a:off x="3612357" y="962026"/>
                <a:ext cx="1071563" cy="409574"/>
              </a:xfrm>
              <a:prstGeom prst="roundRect">
                <a:avLst>
                  <a:gd name="adj" fmla="val 10417"/>
                </a:avLst>
              </a:prstGeom>
              <a:solidFill>
                <a:schemeClr val="accent6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496759C5-73D0-4635-887F-65EE63E060AE}" type="TxLink">
                  <a:rPr lang="en-US" sz="14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 39,763,832 </a:t>
                </a:fld>
                <a:endParaRPr lang="id-ID" sz="1400" b="1">
                  <a:solidFill>
                    <a:schemeClr val="bg1"/>
                  </a:solidFill>
                </a:endParaRPr>
              </a:p>
            </xdr:txBody>
          </xdr:sp>
          <xdr:sp macro="" textlink="">
            <xdr:nvSpPr>
              <xdr:cNvPr id="18" name="Rounded Rectangle 17">
                <a:extLst>
                  <a:ext uri="{FF2B5EF4-FFF2-40B4-BE49-F238E27FC236}">
                    <a16:creationId xmlns:a16="http://schemas.microsoft.com/office/drawing/2014/main" id="{00000000-0008-0000-0900-000012000000}"/>
                  </a:ext>
                </a:extLst>
              </xdr:cNvPr>
              <xdr:cNvSpPr/>
            </xdr:nvSpPr>
            <xdr:spPr>
              <a:xfrm>
                <a:off x="4891088" y="685800"/>
                <a:ext cx="1295400" cy="762000"/>
              </a:xfrm>
              <a:prstGeom prst="roundRect">
                <a:avLst>
                  <a:gd name="adj" fmla="val 2537"/>
                </a:avLst>
              </a:prstGeom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rIns="0" rtlCol="0" anchor="t"/>
              <a:lstStyle/>
              <a:p>
                <a:pPr algn="ctr"/>
                <a:r>
                  <a:rPr lang="id-ID" sz="1200" b="1"/>
                  <a:t>Target</a:t>
                </a:r>
              </a:p>
            </xdr:txBody>
          </xdr:sp>
        </xdr:grpSp>
        <xdr:sp macro="" textlink="KPI!$E$8">
          <xdr:nvSpPr>
            <xdr:cNvPr id="12" name="Rounded Rectangle 11">
              <a:extLst>
                <a:ext uri="{FF2B5EF4-FFF2-40B4-BE49-F238E27FC236}">
                  <a16:creationId xmlns:a16="http://schemas.microsoft.com/office/drawing/2014/main" id="{00000000-0008-0000-0900-00000C000000}"/>
                </a:ext>
              </a:extLst>
            </xdr:cNvPr>
            <xdr:cNvSpPr/>
          </xdr:nvSpPr>
          <xdr:spPr>
            <a:xfrm>
              <a:off x="5003007" y="981076"/>
              <a:ext cx="1071563" cy="409574"/>
            </a:xfrm>
            <a:prstGeom prst="roundRect">
              <a:avLst>
                <a:gd name="adj" fmla="val 10417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F322AB32-FBBA-4751-9F4F-5458A67A39BE}" type="TxLink">
                <a:rPr lang="en-US" sz="1400" b="1" i="0" u="none" strike="noStrike">
                  <a:solidFill>
                    <a:srgbClr val="FFFFFF"/>
                  </a:solidFill>
                  <a:latin typeface="Calibri"/>
                  <a:cs typeface="Calibri"/>
                </a:rPr>
                <a:pPr algn="ctr"/>
                <a:t> 55,032,539 </a:t>
              </a:fld>
              <a:endParaRPr lang="id-ID" sz="1400" b="1">
                <a:solidFill>
                  <a:schemeClr val="bg1"/>
                </a:solidFill>
              </a:endParaRPr>
            </a:p>
          </xdr:txBody>
        </xdr:sp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00000000-0008-0000-0900-00000E000000}"/>
                </a:ext>
              </a:extLst>
            </xdr:cNvPr>
            <xdr:cNvGrpSpPr/>
          </xdr:nvGrpSpPr>
          <xdr:grpSpPr>
            <a:xfrm>
              <a:off x="5791200" y="533400"/>
              <a:ext cx="2628900" cy="1524000"/>
              <a:chOff x="8757823" y="2022157"/>
              <a:chExt cx="4572000" cy="2743200"/>
            </a:xfrm>
          </xdr:grpSpPr>
          <xdr:graphicFrame macro="">
            <xdr:nvGraphicFramePr>
              <xdr:cNvPr id="15" name="Chart 14">
                <a:extLst>
                  <a:ext uri="{FF2B5EF4-FFF2-40B4-BE49-F238E27FC236}">
                    <a16:creationId xmlns:a16="http://schemas.microsoft.com/office/drawing/2014/main" id="{00000000-0008-0000-0900-00000F000000}"/>
                  </a:ext>
                </a:extLst>
              </xdr:cNvPr>
              <xdr:cNvGraphicFramePr/>
            </xdr:nvGraphicFramePr>
            <xdr:xfrm>
              <a:off x="8757823" y="2022157"/>
              <a:ext cx="4572000" cy="27432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sp macro="" textlink="KPI!$D$3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00000000-0008-0000-0900-000010000000}"/>
                  </a:ext>
                </a:extLst>
              </xdr:cNvPr>
              <xdr:cNvSpPr/>
            </xdr:nvSpPr>
            <xdr:spPr>
              <a:xfrm>
                <a:off x="10658061" y="3169920"/>
                <a:ext cx="895350" cy="3905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fld id="{9C4C26E4-AC75-4294-AC44-00AAE3EFF415}" type="TxLink">
                  <a:rPr lang="en-US" sz="1100" b="1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ctr"/>
                  <a:t>72.3%</a:t>
                </a:fld>
                <a:endParaRPr lang="id-ID" sz="1000" b="1">
                  <a:solidFill>
                    <a:schemeClr val="tx1">
                      <a:lumMod val="50000"/>
                      <a:lumOff val="50000"/>
                    </a:schemeClr>
                  </a:solidFill>
                </a:endParaRPr>
              </a:p>
            </xdr:txBody>
          </xdr:sp>
        </xdr:grp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pSpPr/>
        </xdr:nvGrpSpPr>
        <xdr:grpSpPr>
          <a:xfrm>
            <a:off x="8162924" y="1019175"/>
            <a:ext cx="4991101" cy="1800225"/>
            <a:chOff x="8162924" y="1019175"/>
            <a:chExt cx="4991101" cy="1800225"/>
          </a:xfrm>
        </xdr:grpSpPr>
        <xdr:sp macro="" textlink="">
          <xdr:nvSpPr>
            <xdr:cNvPr id="20" name="Rounded Rectangle 19">
              <a:extLst>
                <a:ext uri="{FF2B5EF4-FFF2-40B4-BE49-F238E27FC236}">
                  <a16:creationId xmlns:a16="http://schemas.microsoft.com/office/drawing/2014/main" id="{00000000-0008-0000-0900-000014000000}"/>
                </a:ext>
              </a:extLst>
            </xdr:cNvPr>
            <xdr:cNvSpPr/>
          </xdr:nvSpPr>
          <xdr:spPr>
            <a:xfrm>
              <a:off x="8162924" y="1019175"/>
              <a:ext cx="4676775" cy="1323974"/>
            </a:xfrm>
            <a:prstGeom prst="roundRect">
              <a:avLst>
                <a:gd name="adj" fmla="val 3847"/>
              </a:avLst>
            </a:prstGeom>
            <a:solidFill>
              <a:schemeClr val="accent1">
                <a:lumMod val="40000"/>
                <a:lumOff val="60000"/>
              </a:schemeClr>
            </a:solidFill>
            <a:ln w="38100">
              <a:solidFill>
                <a:schemeClr val="accent1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d-ID" sz="1800" b="1">
                  <a:solidFill>
                    <a:schemeClr val="accent1">
                      <a:lumMod val="50000"/>
                    </a:schemeClr>
                  </a:solidFill>
                </a:rPr>
                <a:t>Target</a:t>
              </a:r>
              <a:r>
                <a:rPr lang="id-ID" sz="1800" b="1" baseline="0">
                  <a:solidFill>
                    <a:schemeClr val="accent1">
                      <a:lumMod val="50000"/>
                    </a:schemeClr>
                  </a:solidFill>
                </a:rPr>
                <a:t> Bulan Ini</a:t>
              </a:r>
              <a:endParaRPr lang="id-ID" sz="18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26" name="Rounded Rectangle 25">
              <a:extLst>
                <a:ext uri="{FF2B5EF4-FFF2-40B4-BE49-F238E27FC236}">
                  <a16:creationId xmlns:a16="http://schemas.microsoft.com/office/drawing/2014/main" id="{00000000-0008-0000-0900-00001A000000}"/>
                </a:ext>
              </a:extLst>
            </xdr:cNvPr>
            <xdr:cNvSpPr/>
          </xdr:nvSpPr>
          <xdr:spPr>
            <a:xfrm>
              <a:off x="8243888" y="1466850"/>
              <a:ext cx="1295400" cy="762000"/>
            </a:xfrm>
            <a:prstGeom prst="roundRect">
              <a:avLst>
                <a:gd name="adj" fmla="val 2537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r>
                <a:rPr lang="id-ID" sz="1200" b="1"/>
                <a:t>Total Produksi</a:t>
              </a:r>
            </a:p>
          </xdr:txBody>
        </xdr:sp>
        <xdr:sp macro="" textlink="KPI!G14">
          <xdr:nvSpPr>
            <xdr:cNvPr id="27" name="Rounded Rectangle 26">
              <a:extLst>
                <a:ext uri="{FF2B5EF4-FFF2-40B4-BE49-F238E27FC236}">
                  <a16:creationId xmlns:a16="http://schemas.microsoft.com/office/drawing/2014/main" id="{00000000-0008-0000-0900-00001B000000}"/>
                </a:ext>
              </a:extLst>
            </xdr:cNvPr>
            <xdr:cNvSpPr/>
          </xdr:nvSpPr>
          <xdr:spPr>
            <a:xfrm>
              <a:off x="8355807" y="1743076"/>
              <a:ext cx="1071563" cy="409574"/>
            </a:xfrm>
            <a:prstGeom prst="roundRect">
              <a:avLst>
                <a:gd name="adj" fmla="val 10417"/>
              </a:avLst>
            </a:prstGeom>
            <a:solidFill>
              <a:schemeClr val="accent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B29AC46A-6E37-4289-BE0B-28ACF50C9FF1}" type="TxLink">
                <a:rPr lang="en-US" sz="1400" b="1" i="0" u="none" strike="noStrike">
                  <a:solidFill>
                    <a:srgbClr val="FFFFFF"/>
                  </a:solidFill>
                  <a:latin typeface="Calibri"/>
                  <a:cs typeface="Calibri"/>
                </a:rPr>
                <a:pPr algn="ctr"/>
                <a:t>3,292,452</a:t>
              </a:fld>
              <a:endParaRPr lang="id-ID" sz="14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8" name="Rounded Rectangle 27">
              <a:extLst>
                <a:ext uri="{FF2B5EF4-FFF2-40B4-BE49-F238E27FC236}">
                  <a16:creationId xmlns:a16="http://schemas.microsoft.com/office/drawing/2014/main" id="{00000000-0008-0000-0900-00001C000000}"/>
                </a:ext>
              </a:extLst>
            </xdr:cNvPr>
            <xdr:cNvSpPr/>
          </xdr:nvSpPr>
          <xdr:spPr>
            <a:xfrm>
              <a:off x="9634538" y="1466850"/>
              <a:ext cx="1295400" cy="762000"/>
            </a:xfrm>
            <a:prstGeom prst="roundRect">
              <a:avLst>
                <a:gd name="adj" fmla="val 2537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r>
                <a:rPr lang="id-ID" sz="1200" b="1"/>
                <a:t>Target</a:t>
              </a:r>
            </a:p>
          </xdr:txBody>
        </xdr:sp>
        <xdr:sp macro="" textlink="KPI!$H$14">
          <xdr:nvSpPr>
            <xdr:cNvPr id="22" name="Rounded Rectangle 21"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9746457" y="1743076"/>
              <a:ext cx="1071563" cy="409574"/>
            </a:xfrm>
            <a:prstGeom prst="roundRect">
              <a:avLst>
                <a:gd name="adj" fmla="val 10417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E528F0DE-D2CA-4437-9E61-37492726EB88}" type="TxLink">
                <a:rPr lang="en-US" sz="1400" b="1" i="0" u="none" strike="noStrike">
                  <a:solidFill>
                    <a:srgbClr val="FFFFFF"/>
                  </a:solidFill>
                  <a:latin typeface="Calibri"/>
                  <a:cs typeface="Calibri"/>
                </a:rPr>
                <a:pPr algn="ctr"/>
                <a:t> 8,877,909 </a:t>
              </a:fld>
              <a:endParaRPr lang="id-ID" sz="1400" b="1">
                <a:solidFill>
                  <a:schemeClr val="bg1"/>
                </a:solidFill>
              </a:endParaRPr>
            </a:p>
          </xdr:txBody>
        </xdr:sp>
        <xdr:graphicFrame macro="">
          <xdr:nvGraphicFramePr>
            <xdr:cNvPr id="24" name="Chart 23"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GraphicFramePr/>
          </xdr:nvGraphicFramePr>
          <xdr:xfrm>
            <a:off x="10525125" y="1295400"/>
            <a:ext cx="2628900" cy="1524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KPI!H33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SpPr/>
          </xdr:nvSpPr>
          <xdr:spPr>
            <a:xfrm>
              <a:off x="11617762" y="1933046"/>
              <a:ext cx="514826" cy="21695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fld id="{E87ECF3A-7356-404F-84DC-26A1499D0882}" type="TxLink">
                <a:rPr lang="en-US" sz="11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37.1%</a:t>
              </a:fld>
              <a:endParaRPr lang="id-ID" sz="1000" b="1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371474</xdr:colOff>
      <xdr:row>12</xdr:row>
      <xdr:rowOff>62117</xdr:rowOff>
    </xdr:from>
    <xdr:to>
      <xdr:col>15</xdr:col>
      <xdr:colOff>561975</xdr:colOff>
      <xdr:row>21</xdr:row>
      <xdr:rowOff>157368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3421614" y="2373802"/>
          <a:ext cx="6290782" cy="1829015"/>
          <a:chOff x="8162924" y="1019174"/>
          <a:chExt cx="6286501" cy="1809751"/>
        </a:xfrm>
      </xdr:grpSpPr>
      <xdr:sp macro="" textlink="">
        <xdr:nvSpPr>
          <xdr:cNvPr id="32" name="Rounded Rectangle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SpPr/>
        </xdr:nvSpPr>
        <xdr:spPr>
          <a:xfrm>
            <a:off x="8162924" y="1019174"/>
            <a:ext cx="6286501" cy="1333500"/>
          </a:xfrm>
          <a:prstGeom prst="roundRect">
            <a:avLst>
              <a:gd name="adj" fmla="val 3847"/>
            </a:avLst>
          </a:prstGeom>
          <a:solidFill>
            <a:schemeClr val="accent1">
              <a:lumMod val="40000"/>
              <a:lumOff val="60000"/>
            </a:schemeClr>
          </a:solidFill>
          <a:ln w="38100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d-ID" sz="1800" b="1">
                <a:solidFill>
                  <a:schemeClr val="accent1">
                    <a:lumMod val="50000"/>
                  </a:schemeClr>
                </a:solidFill>
              </a:rPr>
              <a:t>Target</a:t>
            </a:r>
            <a:r>
              <a:rPr lang="id-ID" sz="1800" b="1" baseline="0">
                <a:solidFill>
                  <a:schemeClr val="accent1">
                    <a:lumMod val="50000"/>
                  </a:schemeClr>
                </a:solidFill>
              </a:rPr>
              <a:t> Produksi Bulan Ini </a:t>
            </a:r>
            <a:r>
              <a:rPr lang="id-ID" sz="1800" b="1" baseline="0">
                <a:solidFill>
                  <a:schemeClr val="accent2">
                    <a:lumMod val="75000"/>
                  </a:schemeClr>
                </a:solidFill>
              </a:rPr>
              <a:t>Per Hari Ini</a:t>
            </a:r>
            <a:endParaRPr lang="id-ID" sz="1800" b="1">
              <a:solidFill>
                <a:schemeClr val="accent2">
                  <a:lumMod val="75000"/>
                </a:schemeClr>
              </a:solidFill>
            </a:endParaRPr>
          </a:p>
        </xdr:txBody>
      </xdr:sp>
      <xdr:sp macro="" textlink="">
        <xdr:nvSpPr>
          <xdr:cNvPr id="33" name="Rounded Rectangle 32">
            <a:extLst>
              <a:ext uri="{FF2B5EF4-FFF2-40B4-BE49-F238E27FC236}">
                <a16:creationId xmlns:a16="http://schemas.microsoft.com/office/drawing/2014/main" id="{00000000-0008-0000-0900-000021000000}"/>
              </a:ext>
            </a:extLst>
          </xdr:cNvPr>
          <xdr:cNvSpPr/>
        </xdr:nvSpPr>
        <xdr:spPr>
          <a:xfrm>
            <a:off x="8243888" y="1466850"/>
            <a:ext cx="1295400" cy="762000"/>
          </a:xfrm>
          <a:prstGeom prst="roundRect">
            <a:avLst>
              <a:gd name="adj" fmla="val 2537"/>
            </a:avLst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r>
              <a:rPr lang="id-ID" sz="1200" b="1"/>
              <a:t>Total Produksi</a:t>
            </a:r>
          </a:p>
        </xdr:txBody>
      </xdr:sp>
      <xdr:sp macro="" textlink="KPI!$G$14">
        <xdr:nvSpPr>
          <xdr:cNvPr id="34" name="Rounded 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8355807" y="1743076"/>
            <a:ext cx="1071563" cy="409574"/>
          </a:xfrm>
          <a:prstGeom prst="roundRect">
            <a:avLst>
              <a:gd name="adj" fmla="val 10417"/>
            </a:avLst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CEFD023-7FE7-462E-9DB7-7110716F975D}" type="TxLink">
              <a:rPr lang="en-US" sz="14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3,292,452</a:t>
            </a:fld>
            <a:endParaRPr lang="id-ID" sz="1400" b="1">
              <a:solidFill>
                <a:schemeClr val="bg1"/>
              </a:solidFill>
            </a:endParaRPr>
          </a:p>
        </xdr:txBody>
      </xdr:sp>
      <xdr:sp macro="" textlink="">
        <xdr:nvSpPr>
          <xdr:cNvPr id="35" name="Rounded Rectangle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SpPr/>
        </xdr:nvSpPr>
        <xdr:spPr>
          <a:xfrm>
            <a:off x="9634538" y="1466850"/>
            <a:ext cx="1295400" cy="762000"/>
          </a:xfrm>
          <a:prstGeom prst="roundRect">
            <a:avLst>
              <a:gd name="adj" fmla="val 2537"/>
            </a:avLst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r>
              <a:rPr lang="id-ID" sz="1200" b="1"/>
              <a:t>Target</a:t>
            </a:r>
          </a:p>
        </xdr:txBody>
      </xdr:sp>
      <xdr:sp macro="" textlink="KPI!$I$14">
        <xdr:nvSpPr>
          <xdr:cNvPr id="36" name="Rounded Rectangle 35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SpPr/>
        </xdr:nvSpPr>
        <xdr:spPr>
          <a:xfrm>
            <a:off x="9746457" y="1743076"/>
            <a:ext cx="1071563" cy="409574"/>
          </a:xfrm>
          <a:prstGeom prst="roundRect">
            <a:avLst>
              <a:gd name="adj" fmla="val 10417"/>
            </a:avLst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B9FD74-63FB-4DA1-BBFC-64B0BF052585}" type="TxLink">
              <a:rPr lang="en-US" sz="14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 8,877,909 </a:t>
            </a:fld>
            <a:endParaRPr lang="en-US" sz="1400" b="1" i="0" u="none" strike="noStrike">
              <a:solidFill>
                <a:srgbClr val="FFFFFF"/>
              </a:solidFill>
              <a:latin typeface="Calibri"/>
              <a:cs typeface="Calibri"/>
            </a:endParaRP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GrpSpPr/>
        </xdr:nvGrpSpPr>
        <xdr:grpSpPr>
          <a:xfrm>
            <a:off x="10305718" y="1304925"/>
            <a:ext cx="2628900" cy="1524000"/>
            <a:chOff x="8359690" y="2039298"/>
            <a:chExt cx="4572002" cy="2743196"/>
          </a:xfrm>
        </xdr:grpSpPr>
        <xdr:graphicFrame macro="">
          <xdr:nvGraphicFramePr>
            <xdr:cNvPr id="38" name="Chart 37">
              <a:extLst>
                <a:ext uri="{FF2B5EF4-FFF2-40B4-BE49-F238E27FC236}">
                  <a16:creationId xmlns:a16="http://schemas.microsoft.com/office/drawing/2014/main" id="{00000000-0008-0000-0900-000026000000}"/>
                </a:ext>
              </a:extLst>
            </xdr:cNvPr>
            <xdr:cNvGraphicFramePr/>
          </xdr:nvGraphicFramePr>
          <xdr:xfrm>
            <a:off x="8359690" y="2039298"/>
            <a:ext cx="4572002" cy="27431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KPI!H41">
          <xdr:nvSpPr>
            <xdr:cNvPr id="39" name="Rectangle 38">
              <a:extLst>
                <a:ext uri="{FF2B5EF4-FFF2-40B4-BE49-F238E27FC236}">
                  <a16:creationId xmlns:a16="http://schemas.microsoft.com/office/drawing/2014/main" id="{00000000-0008-0000-0900-000027000000}"/>
                </a:ext>
              </a:extLst>
            </xdr:cNvPr>
            <xdr:cNvSpPr/>
          </xdr:nvSpPr>
          <xdr:spPr>
            <a:xfrm>
              <a:off x="10259927" y="3187065"/>
              <a:ext cx="895349" cy="39052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fld id="{72998513-F8B2-42D3-AC07-0FC776B207DF}" type="TxLink">
                <a:rPr lang="en-US" sz="11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37.1%</a:t>
              </a:fld>
              <a:endParaRPr lang="id-ID" sz="1000" b="1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</xdr:grpSp>
      <xdr:sp macro="" textlink="">
        <xdr:nvSpPr>
          <xdr:cNvPr id="40" name="Rounded 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12822497" y="1466850"/>
            <a:ext cx="1517391" cy="762000"/>
          </a:xfrm>
          <a:prstGeom prst="roundRect">
            <a:avLst>
              <a:gd name="adj" fmla="val 2537"/>
            </a:avLst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r>
              <a:rPr lang="id-ID" sz="1200" b="1"/>
              <a:t>Hari</a:t>
            </a:r>
            <a:r>
              <a:rPr lang="id-ID" sz="1200" b="1" baseline="0"/>
              <a:t> Kerja Terpakai</a:t>
            </a:r>
            <a:endParaRPr lang="id-ID" sz="1200" b="1"/>
          </a:p>
        </xdr:txBody>
      </xdr:sp>
      <xdr:sp macro="" textlink="KPI!$H$45">
        <xdr:nvSpPr>
          <xdr:cNvPr id="41" name="Rounded Rectangle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SpPr/>
        </xdr:nvSpPr>
        <xdr:spPr>
          <a:xfrm>
            <a:off x="12972775" y="1743076"/>
            <a:ext cx="1255196" cy="409574"/>
          </a:xfrm>
          <a:prstGeom prst="roundRect">
            <a:avLst>
              <a:gd name="adj" fmla="val 10417"/>
            </a:avLst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B8008F1C-66B4-41C8-880D-AF833C7981B6}" type="TxLink">
              <a:rPr lang="en-US" sz="20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l"/>
              <a:t>25.8</a:t>
            </a:fld>
            <a:endParaRPr lang="en-US" sz="2800" b="1" i="0" u="none" strike="noStrike">
              <a:solidFill>
                <a:schemeClr val="bg1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42" name="Rounded Rectangle 41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SpPr/>
        </xdr:nvSpPr>
        <xdr:spPr>
          <a:xfrm>
            <a:off x="13573126" y="1876425"/>
            <a:ext cx="342900" cy="200025"/>
          </a:xfrm>
          <a:prstGeom prst="roundRect">
            <a:avLst>
              <a:gd name="adj" fmla="val 10417"/>
            </a:avLst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l"/>
            <a:r>
              <a:rPr lang="id-ID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t>dari</a:t>
            </a:r>
            <a:endParaRPr lang="en-US" sz="1100" b="1" i="0" u="none" strike="noStrike">
              <a:solidFill>
                <a:schemeClr val="bg1"/>
              </a:solidFill>
              <a:latin typeface="Calibri"/>
              <a:cs typeface="Calibri"/>
            </a:endParaRPr>
          </a:p>
        </xdr:txBody>
      </xdr:sp>
      <xdr:sp macro="" textlink="KPI!H46">
        <xdr:nvSpPr>
          <xdr:cNvPr id="43" name="Rounded 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13868401" y="1876425"/>
            <a:ext cx="342900" cy="200025"/>
          </a:xfrm>
          <a:prstGeom prst="roundRect">
            <a:avLst>
              <a:gd name="adj" fmla="val 10417"/>
            </a:avLst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l"/>
            <a:fld id="{3CA56ED7-B9EC-4BD9-A460-3BD552D67A4F}" type="TxLink">
              <a:rPr lang="en-US" sz="14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l"/>
              <a:t>25.8</a:t>
            </a:fld>
            <a:endParaRPr lang="en-US" sz="1400" b="1" i="0" u="none" strike="noStrike">
              <a:solidFill>
                <a:schemeClr val="bg1"/>
              </a:solidFill>
              <a:latin typeface="Calibri"/>
              <a:cs typeface="Calibri"/>
            </a:endParaRPr>
          </a:p>
        </xdr:txBody>
      </xdr:sp>
    </xdr:grpSp>
    <xdr:clientData/>
  </xdr:twoCellAnchor>
  <xdr:twoCellAnchor>
    <xdr:from>
      <xdr:col>15</xdr:col>
      <xdr:colOff>600075</xdr:colOff>
      <xdr:row>12</xdr:row>
      <xdr:rowOff>72885</xdr:rowOff>
    </xdr:from>
    <xdr:to>
      <xdr:col>21</xdr:col>
      <xdr:colOff>60510</xdr:colOff>
      <xdr:row>19</xdr:row>
      <xdr:rowOff>72885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GrpSpPr/>
      </xdr:nvGrpSpPr>
      <xdr:grpSpPr>
        <a:xfrm>
          <a:off x="9750496" y="2384570"/>
          <a:ext cx="3120604" cy="1348484"/>
          <a:chOff x="8791577" y="1019175"/>
          <a:chExt cx="3095623" cy="1333500"/>
        </a:xfrm>
      </xdr:grpSpPr>
      <xdr:sp macro="" textlink="">
        <xdr:nvSpPr>
          <xdr:cNvPr id="45" name="Rounded Rectangle 44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SpPr/>
        </xdr:nvSpPr>
        <xdr:spPr>
          <a:xfrm>
            <a:off x="8791577" y="1019175"/>
            <a:ext cx="3095623" cy="1333500"/>
          </a:xfrm>
          <a:prstGeom prst="roundRect">
            <a:avLst>
              <a:gd name="adj" fmla="val 3847"/>
            </a:avLst>
          </a:prstGeom>
          <a:solidFill>
            <a:schemeClr val="accent4">
              <a:lumMod val="60000"/>
              <a:lumOff val="40000"/>
            </a:schemeClr>
          </a:solidFill>
          <a:ln w="38100">
            <a:solidFill>
              <a:schemeClr val="accent4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d-ID" sz="1800" b="1">
                <a:solidFill>
                  <a:schemeClr val="accent4">
                    <a:lumMod val="50000"/>
                  </a:schemeClr>
                </a:solidFill>
              </a:rPr>
              <a:t>PRODUKSI MINIMAL BESOK</a:t>
            </a:r>
          </a:p>
        </xdr:txBody>
      </xdr:sp>
      <xdr:sp macro="" textlink="">
        <xdr:nvSpPr>
          <xdr:cNvPr id="46" name="Rounded 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8986838" y="1466850"/>
            <a:ext cx="1295400" cy="762000"/>
          </a:xfrm>
          <a:prstGeom prst="roundRect">
            <a:avLst>
              <a:gd name="adj" fmla="val 2537"/>
            </a:avLst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r>
              <a:rPr lang="id-ID" sz="1200" b="1"/>
              <a:t>Produksi Minimal</a:t>
            </a:r>
          </a:p>
        </xdr:txBody>
      </xdr:sp>
      <xdr:sp macro="" textlink="KPI!$J$38">
        <xdr:nvSpPr>
          <xdr:cNvPr id="47" name="Rounded Rectangle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SpPr/>
        </xdr:nvSpPr>
        <xdr:spPr>
          <a:xfrm>
            <a:off x="9098757" y="1743076"/>
            <a:ext cx="1071563" cy="409574"/>
          </a:xfrm>
          <a:prstGeom prst="roundRect">
            <a:avLst>
              <a:gd name="adj" fmla="val 10417"/>
            </a:avLst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B8A90ED-24F4-45D9-885E-5E7F9E8ACFD1}" type="TxLink">
              <a:rPr lang="en-US" sz="14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 5,914,268 </a:t>
            </a:fld>
            <a:endParaRPr lang="id-ID" sz="1400" b="1">
              <a:solidFill>
                <a:schemeClr val="bg1"/>
              </a:solidFill>
            </a:endParaRPr>
          </a:p>
        </xdr:txBody>
      </xdr:sp>
      <xdr:sp macro="" textlink="">
        <xdr:nvSpPr>
          <xdr:cNvPr id="48" name="Rounded Rectangle 47">
            <a:extLst>
              <a:ext uri="{FF2B5EF4-FFF2-40B4-BE49-F238E27FC236}">
                <a16:creationId xmlns:a16="http://schemas.microsoft.com/office/drawing/2014/main" id="{00000000-0008-0000-0900-000030000000}"/>
              </a:ext>
            </a:extLst>
          </xdr:cNvPr>
          <xdr:cNvSpPr/>
        </xdr:nvSpPr>
        <xdr:spPr>
          <a:xfrm>
            <a:off x="10377488" y="1466850"/>
            <a:ext cx="1295400" cy="762000"/>
          </a:xfrm>
          <a:prstGeom prst="roundRect">
            <a:avLst>
              <a:gd name="adj" fmla="val 2537"/>
            </a:avLst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r>
              <a:rPr lang="id-ID" sz="1200" b="1"/>
              <a:t>Target Besok</a:t>
            </a:r>
          </a:p>
        </xdr:txBody>
      </xdr:sp>
      <xdr:sp macro="" textlink="KPI!$J$39">
        <xdr:nvSpPr>
          <xdr:cNvPr id="49" name="Rounded 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10489407" y="1743076"/>
            <a:ext cx="1071563" cy="409574"/>
          </a:xfrm>
          <a:prstGeom prst="roundRect">
            <a:avLst>
              <a:gd name="adj" fmla="val 10417"/>
            </a:avLst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7A880ED-8CD8-42A2-AE86-17ECE462AEF1}" type="TxLink">
              <a:rPr lang="en-US" sz="14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 9,206,720 </a:t>
            </a:fld>
            <a:endParaRPr lang="id-ID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5</xdr:col>
      <xdr:colOff>367818</xdr:colOff>
      <xdr:row>19</xdr:row>
      <xdr:rowOff>105186</xdr:rowOff>
    </xdr:from>
    <xdr:to>
      <xdr:col>21</xdr:col>
      <xdr:colOff>51280</xdr:colOff>
      <xdr:row>28</xdr:row>
      <xdr:rowOff>105186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3393406" y="3724686"/>
          <a:ext cx="9365345" cy="1714500"/>
        </a:xfrm>
        <a:prstGeom prst="roundRect">
          <a:avLst>
            <a:gd name="adj" fmla="val 1997"/>
          </a:avLst>
        </a:prstGeom>
        <a:solidFill>
          <a:schemeClr val="bg1"/>
        </a:solidFill>
        <a:ln w="38100"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165772</xdr:colOff>
      <xdr:row>19</xdr:row>
      <xdr:rowOff>124236</xdr:rowOff>
    </xdr:from>
    <xdr:to>
      <xdr:col>20</xdr:col>
      <xdr:colOff>253327</xdr:colOff>
      <xdr:row>22</xdr:row>
      <xdr:rowOff>38511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SpPr/>
      </xdr:nvSpPr>
      <xdr:spPr>
        <a:xfrm>
          <a:off x="3796478" y="3743736"/>
          <a:ext cx="8559202" cy="4857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id-ID" sz="1800" b="1">
              <a:solidFill>
                <a:sysClr val="windowText" lastClr="000000"/>
              </a:solidFill>
            </a:rPr>
            <a:t>Capaian</a:t>
          </a:r>
          <a:r>
            <a:rPr lang="id-ID" sz="1800" b="1" baseline="0">
              <a:solidFill>
                <a:sysClr val="windowText" lastClr="000000"/>
              </a:solidFill>
            </a:rPr>
            <a:t> Target Tiap Line All Period</a:t>
          </a:r>
          <a:endParaRPr lang="id-ID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76199</xdr:colOff>
      <xdr:row>20</xdr:row>
      <xdr:rowOff>133761</xdr:rowOff>
    </xdr:from>
    <xdr:to>
      <xdr:col>8</xdr:col>
      <xdr:colOff>58004</xdr:colOff>
      <xdr:row>30</xdr:row>
      <xdr:rowOff>133761</xdr:rowOff>
    </xdr:to>
    <xdr:grpSp>
      <xdr:nvGrpSpPr>
        <xdr:cNvPr id="151" name="Group 150">
          <a:extLst>
            <a:ext uri="{FF2B5EF4-FFF2-40B4-BE49-F238E27FC236}">
              <a16:creationId xmlns:a16="http://schemas.microsoft.com/office/drawing/2014/main" id="{00000000-0008-0000-0900-000097000000}"/>
            </a:ext>
          </a:extLst>
        </xdr:cNvPr>
        <xdr:cNvGrpSpPr/>
      </xdr:nvGrpSpPr>
      <xdr:grpSpPr>
        <a:xfrm>
          <a:off x="3126339" y="3986570"/>
          <a:ext cx="1811890" cy="1926404"/>
          <a:chOff x="3124199" y="4010025"/>
          <a:chExt cx="1809750" cy="1905000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0900-000048000000}"/>
              </a:ext>
            </a:extLst>
          </xdr:cNvPr>
          <xdr:cNvGrpSpPr/>
        </xdr:nvGrpSpPr>
        <xdr:grpSpPr>
          <a:xfrm>
            <a:off x="3124199" y="4010025"/>
            <a:ext cx="1809750" cy="1905000"/>
            <a:chOff x="3228974" y="4010025"/>
            <a:chExt cx="1885950" cy="1905000"/>
          </a:xfrm>
        </xdr:grpSpPr>
        <xdr:graphicFrame macro="">
          <xdr:nvGraphicFramePr>
            <xdr:cNvPr id="55" name="Chart 54">
              <a:extLst>
                <a:ext uri="{FF2B5EF4-FFF2-40B4-BE49-F238E27FC236}">
                  <a16:creationId xmlns:a16="http://schemas.microsoft.com/office/drawing/2014/main" id="{00000000-0008-0000-0900-000037000000}"/>
                </a:ext>
              </a:extLst>
            </xdr:cNvPr>
            <xdr:cNvGraphicFramePr>
              <a:graphicFrameLocks/>
            </xdr:cNvGraphicFramePr>
          </xdr:nvGraphicFramePr>
          <xdr:xfrm>
            <a:off x="3228974" y="4010025"/>
            <a:ext cx="1885950" cy="1905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sp macro="" textlink="'Target Per Line'!F12">
          <xdr:nvSpPr>
            <xdr:cNvPr id="13" name="Rectangle 12">
              <a:extLst>
                <a:ext uri="{FF2B5EF4-FFF2-40B4-BE49-F238E27FC236}">
                  <a16:creationId xmlns:a16="http://schemas.microsoft.com/office/drawing/2014/main" id="{00000000-0008-0000-0900-00000D000000}"/>
                </a:ext>
              </a:extLst>
            </xdr:cNvPr>
            <xdr:cNvSpPr/>
          </xdr:nvSpPr>
          <xdr:spPr>
            <a:xfrm>
              <a:off x="3881437" y="4817558"/>
              <a:ext cx="581024" cy="28911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b" anchorCtr="0"/>
            <a:lstStyle/>
            <a:p>
              <a:pPr algn="ctr"/>
              <a:fld id="{B46737E7-64B7-4A7E-8400-666A58EDCEC3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ctr"/>
                <a:t> </a:t>
              </a:fld>
              <a:endParaRPr lang="id-ID" sz="1100"/>
            </a:p>
          </xdr:txBody>
        </xdr:sp>
        <xdr:sp macro="" textlink="'Target Per Line'!$F13">
          <xdr:nvSpPr>
            <xdr:cNvPr id="236" name="Rectangle 235">
              <a:extLst>
                <a:ext uri="{FF2B5EF4-FFF2-40B4-BE49-F238E27FC236}">
                  <a16:creationId xmlns:a16="http://schemas.microsoft.com/office/drawing/2014/main" id="{00000000-0008-0000-0900-0000EC000000}"/>
                </a:ext>
              </a:extLst>
            </xdr:cNvPr>
            <xdr:cNvSpPr/>
          </xdr:nvSpPr>
          <xdr:spPr>
            <a:xfrm>
              <a:off x="3881437" y="4817558"/>
              <a:ext cx="581024" cy="28911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b" anchorCtr="0"/>
            <a:lstStyle/>
            <a:p>
              <a:pPr algn="ctr"/>
              <a:fld id="{ABBB727A-DBCC-41C5-8767-531AAD295FEA}" type="TxLink">
                <a:rPr lang="en-US" sz="1200" b="1" i="0" u="none" strike="noStrike">
                  <a:solidFill>
                    <a:srgbClr val="ED7D31"/>
                  </a:solidFill>
                  <a:latin typeface="Calibri"/>
                  <a:ea typeface="Calibri"/>
                  <a:cs typeface="Calibri"/>
                </a:rPr>
                <a:pPr algn="ctr"/>
                <a:t> </a:t>
              </a:fld>
              <a:endParaRPr lang="id-ID" sz="1100"/>
            </a:p>
          </xdr:txBody>
        </xdr:sp>
        <xdr:sp macro="" textlink="'Target Per Line'!$F$14">
          <xdr:nvSpPr>
            <xdr:cNvPr id="237" name="Rectangle 236">
              <a:extLst>
                <a:ext uri="{FF2B5EF4-FFF2-40B4-BE49-F238E27FC236}">
                  <a16:creationId xmlns:a16="http://schemas.microsoft.com/office/drawing/2014/main" id="{00000000-0008-0000-0900-0000ED000000}"/>
                </a:ext>
              </a:extLst>
            </xdr:cNvPr>
            <xdr:cNvSpPr/>
          </xdr:nvSpPr>
          <xdr:spPr>
            <a:xfrm>
              <a:off x="3881437" y="4817558"/>
              <a:ext cx="581024" cy="28911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b" anchorCtr="0"/>
            <a:lstStyle/>
            <a:p>
              <a:pPr algn="ctr"/>
              <a:fld id="{63F4370D-B21A-49E9-9CB3-E4C103288B9A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ctr"/>
                <a:t>80.3%</a:t>
              </a:fld>
              <a:endParaRPr lang="id-ID" sz="1100"/>
            </a:p>
          </xdr:txBody>
        </xdr:sp>
      </xdr:grpSp>
      <xdr:grpSp>
        <xdr:nvGrpSpPr>
          <xdr:cNvPr id="100" name="Group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GrpSpPr/>
        </xdr:nvGrpSpPr>
        <xdr:grpSpPr>
          <a:xfrm>
            <a:off x="3448050" y="5153025"/>
            <a:ext cx="972000" cy="496800"/>
            <a:chOff x="3448050" y="5153025"/>
            <a:chExt cx="972000" cy="496800"/>
          </a:xfrm>
          <a:noFill/>
        </xdr:grpSpPr>
        <xdr:grpSp>
          <xdr:nvGrpSpPr>
            <xdr:cNvPr id="87" name="Group 86">
              <a:extLst>
                <a:ext uri="{FF2B5EF4-FFF2-40B4-BE49-F238E27FC236}">
                  <a16:creationId xmlns:a16="http://schemas.microsoft.com/office/drawing/2014/main" id="{00000000-0008-0000-0900-000057000000}"/>
                </a:ext>
              </a:extLst>
            </xdr:cNvPr>
            <xdr:cNvGrpSpPr/>
          </xdr:nvGrpSpPr>
          <xdr:grpSpPr>
            <a:xfrm>
              <a:off x="3448050" y="5153025"/>
              <a:ext cx="972000" cy="496800"/>
              <a:chOff x="9067800" y="4238625"/>
              <a:chExt cx="2705100" cy="496800"/>
            </a:xfrm>
            <a:grpFill/>
          </xdr:grpSpPr>
          <xdr:sp macro="" textlink="'Target Per Line'!$F$8">
            <xdr:nvSpPr>
              <xdr:cNvPr id="91" name="Rectangle 90">
                <a:extLst>
                  <a:ext uri="{FF2B5EF4-FFF2-40B4-BE49-F238E27FC236}">
                    <a16:creationId xmlns:a16="http://schemas.microsoft.com/office/drawing/2014/main" id="{00000000-0008-0000-0900-00005B000000}"/>
                  </a:ext>
                </a:extLst>
              </xdr:cNvPr>
              <xdr:cNvSpPr/>
            </xdr:nvSpPr>
            <xdr:spPr>
              <a:xfrm>
                <a:off x="9067800" y="4238625"/>
                <a:ext cx="2705100" cy="4968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41FAD88D-C6B8-47C1-B84A-99455CB75332}" type="TxLink">
                  <a:rPr lang="en-US" sz="1200" b="1" i="0" u="none" strike="noStrike">
                    <a:solidFill>
                      <a:srgbClr val="70AD47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  <xdr:sp macro="" textlink="'Target Per Line'!$F$10">
            <xdr:nvSpPr>
              <xdr:cNvPr id="92" name="Rectangle 91">
                <a:extLst>
                  <a:ext uri="{FF2B5EF4-FFF2-40B4-BE49-F238E27FC236}">
                    <a16:creationId xmlns:a16="http://schemas.microsoft.com/office/drawing/2014/main" id="{00000000-0008-0000-0900-00005C000000}"/>
                  </a:ext>
                </a:extLst>
              </xdr:cNvPr>
              <xdr:cNvSpPr/>
            </xdr:nvSpPr>
            <xdr:spPr>
              <a:xfrm>
                <a:off x="9067800" y="4371825"/>
                <a:ext cx="2705100" cy="3636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C7C0BE3D-AAF0-4C38-809A-2786113D4A74}" type="TxLink">
                  <a:rPr lang="en-US" sz="1200" b="1" i="0" u="none" strike="noStrike">
                    <a:solidFill>
                      <a:srgbClr val="70AD47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</xdr:grpSp>
        <xdr:grpSp>
          <xdr:nvGrpSpPr>
            <xdr:cNvPr id="88" name="Group 87">
              <a:extLst>
                <a:ext uri="{FF2B5EF4-FFF2-40B4-BE49-F238E27FC236}">
                  <a16:creationId xmlns:a16="http://schemas.microsoft.com/office/drawing/2014/main" id="{00000000-0008-0000-0900-000058000000}"/>
                </a:ext>
              </a:extLst>
            </xdr:cNvPr>
            <xdr:cNvGrpSpPr/>
          </xdr:nvGrpSpPr>
          <xdr:grpSpPr>
            <a:xfrm>
              <a:off x="3448050" y="5153025"/>
              <a:ext cx="972000" cy="495300"/>
              <a:chOff x="11039475" y="3324225"/>
              <a:chExt cx="2705100" cy="495300"/>
            </a:xfrm>
            <a:grpFill/>
          </xdr:grpSpPr>
          <xdr:sp macro="" textlink="'Target Per Line'!$F$9">
            <xdr:nvSpPr>
              <xdr:cNvPr id="89" name="Rectangle 88">
                <a:extLst>
                  <a:ext uri="{FF2B5EF4-FFF2-40B4-BE49-F238E27FC236}">
                    <a16:creationId xmlns:a16="http://schemas.microsoft.com/office/drawing/2014/main" id="{00000000-0008-0000-0900-000059000000}"/>
                  </a:ext>
                </a:extLst>
              </xdr:cNvPr>
              <xdr:cNvSpPr/>
            </xdr:nvSpPr>
            <xdr:spPr>
              <a:xfrm>
                <a:off x="11039475" y="3324225"/>
                <a:ext cx="2705100" cy="4953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C007EA44-9960-4A7D-8E43-8B97BCAA80BB}" type="TxLink">
                  <a:rPr lang="en-US" sz="1200" b="1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 algn="l"/>
                  <a:t>KURANG</a:t>
                </a:fld>
                <a:endParaRPr lang="id-ID" sz="1100"/>
              </a:p>
            </xdr:txBody>
          </xdr:sp>
          <xdr:sp macro="" textlink="'Target Per Line'!$F$11">
            <xdr:nvSpPr>
              <xdr:cNvPr id="90" name="Rectangle 89">
                <a:extLst>
                  <a:ext uri="{FF2B5EF4-FFF2-40B4-BE49-F238E27FC236}">
                    <a16:creationId xmlns:a16="http://schemas.microsoft.com/office/drawing/2014/main" id="{00000000-0008-0000-0900-00005A000000}"/>
                  </a:ext>
                </a:extLst>
              </xdr:cNvPr>
              <xdr:cNvSpPr/>
            </xdr:nvSpPr>
            <xdr:spPr>
              <a:xfrm>
                <a:off x="11039475" y="3457575"/>
                <a:ext cx="2705100" cy="36195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3EB1B57A-4808-42FA-AB7E-029A9857DA5F}" type="TxLink">
                  <a:rPr lang="en-US" sz="1200" b="1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 algn="l"/>
                  <a:t>1,605,985 Pcs</a:t>
                </a:fld>
                <a:endParaRPr lang="id-ID" sz="1100"/>
              </a:p>
            </xdr:txBody>
          </xdr:sp>
        </xdr:grpSp>
      </xdr:grpSp>
    </xdr:grpSp>
    <xdr:clientData/>
  </xdr:twoCellAnchor>
  <xdr:twoCellAnchor>
    <xdr:from>
      <xdr:col>7</xdr:col>
      <xdr:colOff>357920</xdr:colOff>
      <xdr:row>25</xdr:row>
      <xdr:rowOff>57561</xdr:rowOff>
    </xdr:from>
    <xdr:to>
      <xdr:col>9</xdr:col>
      <xdr:colOff>319197</xdr:colOff>
      <xdr:row>29</xdr:row>
      <xdr:rowOff>59061</xdr:rowOff>
    </xdr:to>
    <xdr:grpSp>
      <xdr:nvGrpSpPr>
        <xdr:cNvPr id="152" name="Group 151">
          <a:extLst>
            <a:ext uri="{FF2B5EF4-FFF2-40B4-BE49-F238E27FC236}">
              <a16:creationId xmlns:a16="http://schemas.microsoft.com/office/drawing/2014/main" id="{00000000-0008-0000-0900-000098000000}"/>
            </a:ext>
          </a:extLst>
        </xdr:cNvPr>
        <xdr:cNvGrpSpPr/>
      </xdr:nvGrpSpPr>
      <xdr:grpSpPr>
        <a:xfrm>
          <a:off x="4628117" y="4873572"/>
          <a:ext cx="1181333" cy="772062"/>
          <a:chOff x="4626429" y="4886325"/>
          <a:chExt cx="1179047" cy="763500"/>
        </a:xfrm>
      </xdr:grpSpPr>
      <xdr:sp macro="" textlink="'Target Per Line'!$G$6">
        <xdr:nvSpPr>
          <xdr:cNvPr id="65" name="Rectangle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SpPr/>
        </xdr:nvSpPr>
        <xdr:spPr>
          <a:xfrm>
            <a:off x="4923233" y="4886325"/>
            <a:ext cx="557548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E3C9DA64-9174-4669-B991-C63AAF66F8FC}" type="TxLink">
              <a:rPr lang="en-US" sz="1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</a:t>
            </a:fld>
            <a:endParaRPr lang="id-ID" sz="1100"/>
          </a:p>
        </xdr:txBody>
      </xdr:sp>
      <xdr:grpSp>
        <xdr:nvGrpSpPr>
          <xdr:cNvPr id="101" name="Group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GrpSpPr/>
        </xdr:nvGrpSpPr>
        <xdr:grpSpPr>
          <a:xfrm>
            <a:off x="4626429" y="5153025"/>
            <a:ext cx="1179047" cy="496800"/>
            <a:chOff x="2428876" y="4191000"/>
            <a:chExt cx="1179047" cy="496800"/>
          </a:xfrm>
          <a:noFill/>
        </xdr:grpSpPr>
        <xdr:grpSp>
          <xdr:nvGrpSpPr>
            <xdr:cNvPr id="94" name="Group 93">
              <a:extLst>
                <a:ext uri="{FF2B5EF4-FFF2-40B4-BE49-F238E27FC236}">
                  <a16:creationId xmlns:a16="http://schemas.microsoft.com/office/drawing/2014/main" id="{00000000-0008-0000-0900-00005E000000}"/>
                </a:ext>
              </a:extLst>
            </xdr:cNvPr>
            <xdr:cNvGrpSpPr/>
          </xdr:nvGrpSpPr>
          <xdr:grpSpPr>
            <a:xfrm>
              <a:off x="2428877" y="4191000"/>
              <a:ext cx="1179046" cy="496800"/>
              <a:chOff x="9067800" y="4238625"/>
              <a:chExt cx="3281313" cy="496800"/>
            </a:xfrm>
            <a:grpFill/>
          </xdr:grpSpPr>
          <xdr:sp macro="" textlink="'Target Per Line'!$G$8">
            <xdr:nvSpPr>
              <xdr:cNvPr id="98" name="Rectangle 97">
                <a:extLst>
                  <a:ext uri="{FF2B5EF4-FFF2-40B4-BE49-F238E27FC236}">
                    <a16:creationId xmlns:a16="http://schemas.microsoft.com/office/drawing/2014/main" id="{00000000-0008-0000-0900-000062000000}"/>
                  </a:ext>
                </a:extLst>
              </xdr:cNvPr>
              <xdr:cNvSpPr/>
            </xdr:nvSpPr>
            <xdr:spPr>
              <a:xfrm>
                <a:off x="9067800" y="4238625"/>
                <a:ext cx="2705100" cy="4968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A779B38B-9D08-4E6F-A873-FF831FAD6110}" type="TxLink">
                  <a:rPr lang="en-US" sz="1200" b="1" i="0" u="none" strike="noStrike">
                    <a:solidFill>
                      <a:srgbClr val="70AD47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  <xdr:sp macro="" textlink="'Target Per Line'!$G$10">
            <xdr:nvSpPr>
              <xdr:cNvPr id="99" name="Rectangle 98" hidden="1">
                <a:extLst>
                  <a:ext uri="{FF2B5EF4-FFF2-40B4-BE49-F238E27FC236}">
                    <a16:creationId xmlns:a16="http://schemas.microsoft.com/office/drawing/2014/main" id="{00000000-0008-0000-0900-000063000000}"/>
                  </a:ext>
                </a:extLst>
              </xdr:cNvPr>
              <xdr:cNvSpPr/>
            </xdr:nvSpPr>
            <xdr:spPr>
              <a:xfrm>
                <a:off x="9644013" y="4371825"/>
                <a:ext cx="2705100" cy="3636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CD99D6A3-197D-4595-A1F4-56636FCD198C}" type="TxLink">
                  <a:rPr lang="en-US" sz="1200" b="1" i="0" u="none" strike="noStrike">
                    <a:solidFill>
                      <a:srgbClr val="70AD47"/>
                    </a:solidFill>
                    <a:latin typeface="Calibri"/>
                    <a:cs typeface="Calibri"/>
                  </a:rPr>
                  <a:pPr algn="l"/>
                  <a:t>0 Pcs</a:t>
                </a:fld>
                <a:endParaRPr lang="id-ID" sz="1100"/>
              </a:p>
            </xdr:txBody>
          </xdr:sp>
        </xdr:grpSp>
        <xdr:grpSp>
          <xdr:nvGrpSpPr>
            <xdr:cNvPr id="95" name="Group 94">
              <a:extLst>
                <a:ext uri="{FF2B5EF4-FFF2-40B4-BE49-F238E27FC236}">
                  <a16:creationId xmlns:a16="http://schemas.microsoft.com/office/drawing/2014/main" id="{00000000-0008-0000-0900-00005F000000}"/>
                </a:ext>
              </a:extLst>
            </xdr:cNvPr>
            <xdr:cNvGrpSpPr/>
          </xdr:nvGrpSpPr>
          <xdr:grpSpPr>
            <a:xfrm>
              <a:off x="2428876" y="4191000"/>
              <a:ext cx="972000" cy="495300"/>
              <a:chOff x="13133632" y="3476625"/>
              <a:chExt cx="2705100" cy="495300"/>
            </a:xfrm>
            <a:grpFill/>
          </xdr:grpSpPr>
          <xdr:sp macro="" textlink="'Target Per Line'!$G$9">
            <xdr:nvSpPr>
              <xdr:cNvPr id="96" name="Rectangle 95">
                <a:extLst>
                  <a:ext uri="{FF2B5EF4-FFF2-40B4-BE49-F238E27FC236}">
                    <a16:creationId xmlns:a16="http://schemas.microsoft.com/office/drawing/2014/main" id="{00000000-0008-0000-0900-000060000000}"/>
                  </a:ext>
                </a:extLst>
              </xdr:cNvPr>
              <xdr:cNvSpPr/>
            </xdr:nvSpPr>
            <xdr:spPr>
              <a:xfrm>
                <a:off x="13133632" y="3476625"/>
                <a:ext cx="2705100" cy="4953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8BCE67CE-1413-4930-A66B-87A91E7430BC}" type="TxLink">
                  <a:rPr lang="en-US" sz="1200" b="1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  <xdr:sp macro="" textlink="'Target Per Line'!$G$11">
            <xdr:nvSpPr>
              <xdr:cNvPr id="97" name="Rectangle 96">
                <a:extLst>
                  <a:ext uri="{FF2B5EF4-FFF2-40B4-BE49-F238E27FC236}">
                    <a16:creationId xmlns:a16="http://schemas.microsoft.com/office/drawing/2014/main" id="{00000000-0008-0000-0900-000061000000}"/>
                  </a:ext>
                </a:extLst>
              </xdr:cNvPr>
              <xdr:cNvSpPr/>
            </xdr:nvSpPr>
            <xdr:spPr>
              <a:xfrm>
                <a:off x="13133632" y="3609975"/>
                <a:ext cx="2705100" cy="36195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6086F243-D3AC-4411-BF1D-4505A22F23C4}" type="TxLink">
                  <a:rPr lang="en-US" sz="1200" b="1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</xdr:grpSp>
      </xdr:grpSp>
    </xdr:grpSp>
    <xdr:clientData/>
  </xdr:twoCellAnchor>
  <xdr:twoCellAnchor>
    <xdr:from>
      <xdr:col>7</xdr:col>
      <xdr:colOff>224534</xdr:colOff>
      <xdr:row>20</xdr:row>
      <xdr:rowOff>133761</xdr:rowOff>
    </xdr:from>
    <xdr:to>
      <xdr:col>10</xdr:col>
      <xdr:colOff>206340</xdr:colOff>
      <xdr:row>30</xdr:row>
      <xdr:rowOff>133761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4494731" y="3986570"/>
          <a:ext cx="1811890" cy="1926404"/>
          <a:chOff x="5470071" y="4010025"/>
          <a:chExt cx="1809750" cy="1905000"/>
        </a:xfrm>
      </xdr:grpSpPr>
      <xdr:grpSp>
        <xdr:nvGrpSpPr>
          <xdr:cNvPr id="74" name="Group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GrpSpPr/>
        </xdr:nvGrpSpPr>
        <xdr:grpSpPr>
          <a:xfrm>
            <a:off x="5470071" y="4010025"/>
            <a:ext cx="1809750" cy="1905000"/>
            <a:chOff x="5870574" y="4010025"/>
            <a:chExt cx="1885950" cy="1905000"/>
          </a:xfrm>
        </xdr:grpSpPr>
        <xdr:graphicFrame macro="">
          <xdr:nvGraphicFramePr>
            <xdr:cNvPr id="57" name="Chart 56">
              <a:extLst>
                <a:ext uri="{FF2B5EF4-FFF2-40B4-BE49-F238E27FC236}">
                  <a16:creationId xmlns:a16="http://schemas.microsoft.com/office/drawing/2014/main" id="{00000000-0008-0000-0900-000039000000}"/>
                </a:ext>
              </a:extLst>
            </xdr:cNvPr>
            <xdr:cNvGraphicFramePr>
              <a:graphicFrameLocks/>
            </xdr:cNvGraphicFramePr>
          </xdr:nvGraphicFramePr>
          <xdr:xfrm>
            <a:off x="5870574" y="4010025"/>
            <a:ext cx="1885950" cy="1905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sp macro="" textlink="'Target Per Line'!$H$12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0900-000042000000}"/>
                </a:ext>
              </a:extLst>
            </xdr:cNvPr>
            <xdr:cNvSpPr/>
          </xdr:nvSpPr>
          <xdr:spPr>
            <a:xfrm>
              <a:off x="6523037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EA0F33D0-41C9-417E-9A40-E5A3AD6EE172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ctr"/>
                <a:t> </a:t>
              </a:fld>
              <a:endParaRPr lang="id-ID" sz="1100"/>
            </a:p>
          </xdr:txBody>
        </xdr:sp>
        <xdr:sp macro="" textlink="'Target Per Line'!$H$13">
          <xdr:nvSpPr>
            <xdr:cNvPr id="238" name="Rectangle 237">
              <a:extLst>
                <a:ext uri="{FF2B5EF4-FFF2-40B4-BE49-F238E27FC236}">
                  <a16:creationId xmlns:a16="http://schemas.microsoft.com/office/drawing/2014/main" id="{00000000-0008-0000-0900-0000EE000000}"/>
                </a:ext>
              </a:extLst>
            </xdr:cNvPr>
            <xdr:cNvSpPr/>
          </xdr:nvSpPr>
          <xdr:spPr>
            <a:xfrm>
              <a:off x="6523037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4A75B25E-6EA0-4CF5-9B92-EC22182AB102}" type="TxLink">
                <a:rPr lang="en-US" sz="1200" b="1" i="0" u="none" strike="noStrike">
                  <a:solidFill>
                    <a:srgbClr val="FFFF00"/>
                  </a:solidFill>
                  <a:latin typeface="Calibri"/>
                  <a:cs typeface="Calibri"/>
                </a:rPr>
                <a:pPr algn="ctr"/>
                <a:t> </a:t>
              </a:fld>
              <a:endParaRPr lang="id-ID" sz="1100"/>
            </a:p>
          </xdr:txBody>
        </xdr:sp>
        <xdr:sp macro="" textlink="'Target Per Line'!$H$14">
          <xdr:nvSpPr>
            <xdr:cNvPr id="247" name="Rectangle 246">
              <a:extLst>
                <a:ext uri="{FF2B5EF4-FFF2-40B4-BE49-F238E27FC236}">
                  <a16:creationId xmlns:a16="http://schemas.microsoft.com/office/drawing/2014/main" id="{00000000-0008-0000-0900-0000F7000000}"/>
                </a:ext>
              </a:extLst>
            </xdr:cNvPr>
            <xdr:cNvSpPr/>
          </xdr:nvSpPr>
          <xdr:spPr>
            <a:xfrm>
              <a:off x="6523037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2450DF72-38EF-4641-BB0C-8A4A93613C71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ctr"/>
                <a:t>70.4%</a:t>
              </a:fld>
              <a:endParaRPr lang="id-ID" sz="1100"/>
            </a:p>
          </xdr:txBody>
        </xdr:sp>
      </xdr:grp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GrpSpPr/>
        </xdr:nvGrpSpPr>
        <xdr:grpSpPr>
          <a:xfrm>
            <a:off x="5804808" y="5153025"/>
            <a:ext cx="972000" cy="496800"/>
            <a:chOff x="5895975" y="5600700"/>
            <a:chExt cx="972000" cy="496800"/>
          </a:xfrm>
          <a:noFill/>
        </xdr:grpSpPr>
        <xdr:grpSp>
          <xdr:nvGrpSpPr>
            <xdr:cNvPr id="103" name="Group 102">
              <a:extLst>
                <a:ext uri="{FF2B5EF4-FFF2-40B4-BE49-F238E27FC236}">
                  <a16:creationId xmlns:a16="http://schemas.microsoft.com/office/drawing/2014/main" id="{00000000-0008-0000-0900-000067000000}"/>
                </a:ext>
              </a:extLst>
            </xdr:cNvPr>
            <xdr:cNvGrpSpPr/>
          </xdr:nvGrpSpPr>
          <xdr:grpSpPr>
            <a:xfrm>
              <a:off x="5895975" y="5600700"/>
              <a:ext cx="972000" cy="496800"/>
              <a:chOff x="9067800" y="4238625"/>
              <a:chExt cx="2705100" cy="496800"/>
            </a:xfrm>
            <a:grpFill/>
          </xdr:grpSpPr>
          <xdr:sp macro="" textlink="'Target Per Line'!$H$8">
            <xdr:nvSpPr>
              <xdr:cNvPr id="107" name="Rectangle 106">
                <a:extLst>
                  <a:ext uri="{FF2B5EF4-FFF2-40B4-BE49-F238E27FC236}">
                    <a16:creationId xmlns:a16="http://schemas.microsoft.com/office/drawing/2014/main" id="{00000000-0008-0000-0900-00006B000000}"/>
                  </a:ext>
                </a:extLst>
              </xdr:cNvPr>
              <xdr:cNvSpPr/>
            </xdr:nvSpPr>
            <xdr:spPr>
              <a:xfrm>
                <a:off x="9067800" y="4238625"/>
                <a:ext cx="2705100" cy="4968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550F5632-89AF-4421-B30F-46FD4C6FF443}" type="TxLink">
                  <a:rPr lang="en-US" sz="1200" b="1" i="0" u="none" strike="noStrike">
                    <a:solidFill>
                      <a:srgbClr val="70AD47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  <xdr:sp macro="" textlink="'Target Per Line'!$H$10">
            <xdr:nvSpPr>
              <xdr:cNvPr id="108" name="Rectangle 107">
                <a:extLst>
                  <a:ext uri="{FF2B5EF4-FFF2-40B4-BE49-F238E27FC236}">
                    <a16:creationId xmlns:a16="http://schemas.microsoft.com/office/drawing/2014/main" id="{00000000-0008-0000-0900-00006C000000}"/>
                  </a:ext>
                </a:extLst>
              </xdr:cNvPr>
              <xdr:cNvSpPr/>
            </xdr:nvSpPr>
            <xdr:spPr>
              <a:xfrm>
                <a:off x="9067800" y="4371825"/>
                <a:ext cx="2705100" cy="3636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96D8C553-330D-466B-8D40-7B8ADA18B957}" type="TxLink">
                  <a:rPr lang="en-US" sz="1200" b="1" i="0" u="none" strike="noStrike">
                    <a:solidFill>
                      <a:srgbClr val="70AD47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</xdr:grpSp>
        <xdr:grpSp>
          <xdr:nvGrpSpPr>
            <xdr:cNvPr id="104" name="Group 103">
              <a:extLst>
                <a:ext uri="{FF2B5EF4-FFF2-40B4-BE49-F238E27FC236}">
                  <a16:creationId xmlns:a16="http://schemas.microsoft.com/office/drawing/2014/main" id="{00000000-0008-0000-0900-000068000000}"/>
                </a:ext>
              </a:extLst>
            </xdr:cNvPr>
            <xdr:cNvGrpSpPr/>
          </xdr:nvGrpSpPr>
          <xdr:grpSpPr>
            <a:xfrm>
              <a:off x="5895975" y="5600700"/>
              <a:ext cx="972000" cy="495300"/>
              <a:chOff x="11039475" y="3324225"/>
              <a:chExt cx="2705100" cy="495300"/>
            </a:xfrm>
            <a:grpFill/>
          </xdr:grpSpPr>
          <xdr:sp macro="" textlink="'Target Per Line'!$H$9">
            <xdr:nvSpPr>
              <xdr:cNvPr id="105" name="Rectangle 104">
                <a:extLst>
                  <a:ext uri="{FF2B5EF4-FFF2-40B4-BE49-F238E27FC236}">
                    <a16:creationId xmlns:a16="http://schemas.microsoft.com/office/drawing/2014/main" id="{00000000-0008-0000-0900-000069000000}"/>
                  </a:ext>
                </a:extLst>
              </xdr:cNvPr>
              <xdr:cNvSpPr/>
            </xdr:nvSpPr>
            <xdr:spPr>
              <a:xfrm>
                <a:off x="11039475" y="3324225"/>
                <a:ext cx="2705100" cy="4953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34B25917-4098-4B79-81AD-4D3F55E13874}" type="TxLink">
                  <a:rPr lang="en-US" sz="1200" b="1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 algn="l"/>
                  <a:t>KURANG</a:t>
                </a:fld>
                <a:endParaRPr lang="id-ID" sz="1100"/>
              </a:p>
            </xdr:txBody>
          </xdr:sp>
          <xdr:sp macro="" textlink="'Target Per Line'!$H$11">
            <xdr:nvSpPr>
              <xdr:cNvPr id="106" name="Rectangle 105">
                <a:extLst>
                  <a:ext uri="{FF2B5EF4-FFF2-40B4-BE49-F238E27FC236}">
                    <a16:creationId xmlns:a16="http://schemas.microsoft.com/office/drawing/2014/main" id="{00000000-0008-0000-0900-00006A000000}"/>
                  </a:ext>
                </a:extLst>
              </xdr:cNvPr>
              <xdr:cNvSpPr/>
            </xdr:nvSpPr>
            <xdr:spPr>
              <a:xfrm>
                <a:off x="11039475" y="3457575"/>
                <a:ext cx="2705100" cy="36195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2382DA5F-B5C6-49CC-90F0-44D232B527CF}" type="TxLink">
                  <a:rPr lang="en-US" sz="1200" b="1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 algn="l"/>
                  <a:t>9,942,341 Pcs</a:t>
                </a:fld>
                <a:endParaRPr lang="id-ID" sz="1100"/>
              </a:p>
            </xdr:txBody>
          </xdr:sp>
        </xdr:grpSp>
      </xdr:grpSp>
    </xdr:grpSp>
    <xdr:clientData/>
  </xdr:twoCellAnchor>
  <xdr:twoCellAnchor>
    <xdr:from>
      <xdr:col>9</xdr:col>
      <xdr:colOff>372870</xdr:colOff>
      <xdr:row>20</xdr:row>
      <xdr:rowOff>133761</xdr:rowOff>
    </xdr:from>
    <xdr:to>
      <xdr:col>12</xdr:col>
      <xdr:colOff>354676</xdr:colOff>
      <xdr:row>30</xdr:row>
      <xdr:rowOff>133761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900-00009A000000}"/>
            </a:ext>
          </a:extLst>
        </xdr:cNvPr>
        <xdr:cNvGrpSpPr/>
      </xdr:nvGrpSpPr>
      <xdr:grpSpPr>
        <a:xfrm>
          <a:off x="5863123" y="3986570"/>
          <a:ext cx="1811890" cy="1926404"/>
          <a:chOff x="6643007" y="4010025"/>
          <a:chExt cx="1809750" cy="1905000"/>
        </a:xfrm>
      </xdr:grpSpPr>
      <xdr:grpSp>
        <xdr:nvGrpSpPr>
          <xdr:cNvPr id="85" name="Group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GrpSpPr/>
        </xdr:nvGrpSpPr>
        <xdr:grpSpPr>
          <a:xfrm>
            <a:off x="6643007" y="4010025"/>
            <a:ext cx="1809750" cy="1905000"/>
            <a:chOff x="7191374" y="4010025"/>
            <a:chExt cx="1885950" cy="1905000"/>
          </a:xfrm>
        </xdr:grpSpPr>
        <xdr:graphicFrame macro="">
          <xdr:nvGraphicFramePr>
            <xdr:cNvPr id="58" name="Chart 57">
              <a:extLst>
                <a:ext uri="{FF2B5EF4-FFF2-40B4-BE49-F238E27FC236}">
                  <a16:creationId xmlns:a16="http://schemas.microsoft.com/office/drawing/2014/main" id="{00000000-0008-0000-0900-00003A000000}"/>
                </a:ext>
              </a:extLst>
            </xdr:cNvPr>
            <xdr:cNvGraphicFramePr>
              <a:graphicFrameLocks/>
            </xdr:cNvGraphicFramePr>
          </xdr:nvGraphicFramePr>
          <xdr:xfrm>
            <a:off x="7191374" y="4010025"/>
            <a:ext cx="1885950" cy="1905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  <xdr:sp macro="" textlink="'Target Per Line'!$I$12">
          <xdr:nvSpPr>
            <xdr:cNvPr id="67" name="Rectangle 66">
              <a:extLst>
                <a:ext uri="{FF2B5EF4-FFF2-40B4-BE49-F238E27FC236}">
                  <a16:creationId xmlns:a16="http://schemas.microsoft.com/office/drawing/2014/main" id="{00000000-0008-0000-0900-000043000000}"/>
                </a:ext>
              </a:extLst>
            </xdr:cNvPr>
            <xdr:cNvSpPr/>
          </xdr:nvSpPr>
          <xdr:spPr>
            <a:xfrm>
              <a:off x="7843835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07C24E29-6FA5-41DE-A18C-DEA3DCF6D434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ctr"/>
                <a:t> </a:t>
              </a:fld>
              <a:endParaRPr lang="id-ID" sz="1100"/>
            </a:p>
          </xdr:txBody>
        </xdr:sp>
        <xdr:sp macro="" textlink="'Target Per Line'!$I$13">
          <xdr:nvSpPr>
            <xdr:cNvPr id="255" name="Rectangle 254">
              <a:extLst>
                <a:ext uri="{FF2B5EF4-FFF2-40B4-BE49-F238E27FC236}">
                  <a16:creationId xmlns:a16="http://schemas.microsoft.com/office/drawing/2014/main" id="{00000000-0008-0000-0900-0000FF000000}"/>
                </a:ext>
              </a:extLst>
            </xdr:cNvPr>
            <xdr:cNvSpPr/>
          </xdr:nvSpPr>
          <xdr:spPr>
            <a:xfrm>
              <a:off x="7843835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0321DF5E-BC4E-4D15-9849-000AD7BF2778}" type="TxLink">
                <a:rPr lang="en-US" sz="1200" b="1" i="0" u="none" strike="noStrike">
                  <a:solidFill>
                    <a:srgbClr val="FFFF00"/>
                  </a:solidFill>
                  <a:latin typeface="Calibri"/>
                  <a:cs typeface="Calibri"/>
                </a:rPr>
                <a:pPr algn="ctr"/>
                <a:t> </a:t>
              </a:fld>
              <a:endParaRPr lang="id-ID" sz="1100"/>
            </a:p>
          </xdr:txBody>
        </xdr:sp>
        <xdr:sp macro="" textlink="'Target Per Line'!$I$14">
          <xdr:nvSpPr>
            <xdr:cNvPr id="259" name="Rectangle 258">
              <a:extLst>
                <a:ext uri="{FF2B5EF4-FFF2-40B4-BE49-F238E27FC236}">
                  <a16:creationId xmlns:a16="http://schemas.microsoft.com/office/drawing/2014/main" id="{00000000-0008-0000-0900-000003010000}"/>
                </a:ext>
              </a:extLst>
            </xdr:cNvPr>
            <xdr:cNvSpPr/>
          </xdr:nvSpPr>
          <xdr:spPr>
            <a:xfrm>
              <a:off x="7843837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D88F020B-FD53-4615-8294-BA36FA13DEEF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ctr"/>
                <a:t>49.9%</a:t>
              </a:fld>
              <a:endParaRPr lang="id-ID" sz="1100"/>
            </a:p>
          </xdr:txBody>
        </xdr:sp>
      </xdr:grpSp>
      <xdr:grpSp>
        <xdr:nvGrpSpPr>
          <xdr:cNvPr id="117" name="Group 116">
            <a:extLst>
              <a:ext uri="{FF2B5EF4-FFF2-40B4-BE49-F238E27FC236}">
                <a16:creationId xmlns:a16="http://schemas.microsoft.com/office/drawing/2014/main" id="{00000000-0008-0000-0900-000075000000}"/>
              </a:ext>
            </a:extLst>
          </xdr:cNvPr>
          <xdr:cNvGrpSpPr/>
        </xdr:nvGrpSpPr>
        <xdr:grpSpPr>
          <a:xfrm>
            <a:off x="6983187" y="5153025"/>
            <a:ext cx="972000" cy="496800"/>
            <a:chOff x="7124701" y="5591175"/>
            <a:chExt cx="972000" cy="496800"/>
          </a:xfrm>
          <a:noFill/>
        </xdr:grpSpPr>
        <xdr:grpSp>
          <xdr:nvGrpSpPr>
            <xdr:cNvPr id="110" name="Group 109">
              <a:extLst>
                <a:ext uri="{FF2B5EF4-FFF2-40B4-BE49-F238E27FC236}">
                  <a16:creationId xmlns:a16="http://schemas.microsoft.com/office/drawing/2014/main" id="{00000000-0008-0000-0900-00006E000000}"/>
                </a:ext>
              </a:extLst>
            </xdr:cNvPr>
            <xdr:cNvGrpSpPr/>
          </xdr:nvGrpSpPr>
          <xdr:grpSpPr>
            <a:xfrm>
              <a:off x="7124701" y="5591175"/>
              <a:ext cx="972000" cy="496800"/>
              <a:chOff x="9067800" y="4238625"/>
              <a:chExt cx="2705100" cy="496800"/>
            </a:xfrm>
            <a:grpFill/>
          </xdr:grpSpPr>
          <xdr:sp macro="" textlink="'Target Per Line'!$I$8">
            <xdr:nvSpPr>
              <xdr:cNvPr id="114" name="Rectangle 113">
                <a:extLst>
                  <a:ext uri="{FF2B5EF4-FFF2-40B4-BE49-F238E27FC236}">
                    <a16:creationId xmlns:a16="http://schemas.microsoft.com/office/drawing/2014/main" id="{00000000-0008-0000-0900-000072000000}"/>
                  </a:ext>
                </a:extLst>
              </xdr:cNvPr>
              <xdr:cNvSpPr/>
            </xdr:nvSpPr>
            <xdr:spPr>
              <a:xfrm>
                <a:off x="9067800" y="4238625"/>
                <a:ext cx="2705100" cy="4968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ABE2CDBA-7FCB-4F84-A36A-FC5C67D15033}" type="TxLink">
                  <a:rPr lang="en-US" sz="1200" b="1" i="0" u="none" strike="noStrike">
                    <a:solidFill>
                      <a:srgbClr val="70AD47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  <xdr:sp macro="" textlink="'Target Per Line'!$I$10">
            <xdr:nvSpPr>
              <xdr:cNvPr id="115" name="Rectangle 114">
                <a:extLst>
                  <a:ext uri="{FF2B5EF4-FFF2-40B4-BE49-F238E27FC236}">
                    <a16:creationId xmlns:a16="http://schemas.microsoft.com/office/drawing/2014/main" id="{00000000-0008-0000-0900-000073000000}"/>
                  </a:ext>
                </a:extLst>
              </xdr:cNvPr>
              <xdr:cNvSpPr/>
            </xdr:nvSpPr>
            <xdr:spPr>
              <a:xfrm>
                <a:off x="9067800" y="4371825"/>
                <a:ext cx="2705100" cy="3636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8A3E837A-D1A7-4157-B8D3-5E3EB90CD106}" type="TxLink">
                  <a:rPr lang="en-US" sz="1200" b="1" i="0" u="none" strike="noStrike">
                    <a:solidFill>
                      <a:srgbClr val="70AD47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</xdr:grpSp>
        <xdr:grpSp>
          <xdr:nvGrpSpPr>
            <xdr:cNvPr id="111" name="Group 110">
              <a:extLst>
                <a:ext uri="{FF2B5EF4-FFF2-40B4-BE49-F238E27FC236}">
                  <a16:creationId xmlns:a16="http://schemas.microsoft.com/office/drawing/2014/main" id="{00000000-0008-0000-0900-00006F000000}"/>
                </a:ext>
              </a:extLst>
            </xdr:cNvPr>
            <xdr:cNvGrpSpPr/>
          </xdr:nvGrpSpPr>
          <xdr:grpSpPr>
            <a:xfrm>
              <a:off x="7124701" y="5591175"/>
              <a:ext cx="972000" cy="495300"/>
              <a:chOff x="13133632" y="3476625"/>
              <a:chExt cx="2705100" cy="495300"/>
            </a:xfrm>
            <a:grpFill/>
          </xdr:grpSpPr>
          <xdr:sp macro="" textlink="'Target Per Line'!$I$9">
            <xdr:nvSpPr>
              <xdr:cNvPr id="112" name="Rectangle 111">
                <a:extLst>
                  <a:ext uri="{FF2B5EF4-FFF2-40B4-BE49-F238E27FC236}">
                    <a16:creationId xmlns:a16="http://schemas.microsoft.com/office/drawing/2014/main" id="{00000000-0008-0000-0900-000070000000}"/>
                  </a:ext>
                </a:extLst>
              </xdr:cNvPr>
              <xdr:cNvSpPr/>
            </xdr:nvSpPr>
            <xdr:spPr>
              <a:xfrm>
                <a:off x="13133632" y="3476625"/>
                <a:ext cx="2705100" cy="4953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342860A5-DEBD-4EA8-A2A3-090E9FCAA606}" type="TxLink">
                  <a:rPr lang="en-US" sz="1200" b="1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 algn="l"/>
                  <a:t>KURANG</a:t>
                </a:fld>
                <a:endParaRPr lang="id-ID" sz="1100"/>
              </a:p>
            </xdr:txBody>
          </xdr:sp>
          <xdr:sp macro="" textlink="'Target Per Line'!$I$11">
            <xdr:nvSpPr>
              <xdr:cNvPr id="113" name="Rectangle 112">
                <a:extLst>
                  <a:ext uri="{FF2B5EF4-FFF2-40B4-BE49-F238E27FC236}">
                    <a16:creationId xmlns:a16="http://schemas.microsoft.com/office/drawing/2014/main" id="{00000000-0008-0000-0900-000071000000}"/>
                  </a:ext>
                </a:extLst>
              </xdr:cNvPr>
              <xdr:cNvSpPr/>
            </xdr:nvSpPr>
            <xdr:spPr>
              <a:xfrm>
                <a:off x="13133632" y="3609975"/>
                <a:ext cx="2705100" cy="36195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0FBD8BBD-B692-4C7B-9F15-EA19413543F9}" type="TxLink">
                  <a:rPr lang="en-US" sz="1200" b="1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 algn="l"/>
                  <a:t>1,828,949 Pcs</a:t>
                </a:fld>
                <a:endParaRPr lang="id-ID" sz="1100"/>
              </a:p>
            </xdr:txBody>
          </xdr:sp>
        </xdr:grpSp>
      </xdr:grpSp>
    </xdr:grpSp>
    <xdr:clientData/>
  </xdr:twoCellAnchor>
  <xdr:twoCellAnchor>
    <xdr:from>
      <xdr:col>11</xdr:col>
      <xdr:colOff>521207</xdr:colOff>
      <xdr:row>20</xdr:row>
      <xdr:rowOff>133761</xdr:rowOff>
    </xdr:from>
    <xdr:to>
      <xdr:col>14</xdr:col>
      <xdr:colOff>503012</xdr:colOff>
      <xdr:row>30</xdr:row>
      <xdr:rowOff>133761</xdr:rowOff>
    </xdr:to>
    <xdr:grpSp>
      <xdr:nvGrpSpPr>
        <xdr:cNvPr id="155" name="Group 154">
          <a:extLst>
            <a:ext uri="{FF2B5EF4-FFF2-40B4-BE49-F238E27FC236}">
              <a16:creationId xmlns:a16="http://schemas.microsoft.com/office/drawing/2014/main" id="{00000000-0008-0000-0900-00009B000000}"/>
            </a:ext>
          </a:extLst>
        </xdr:cNvPr>
        <xdr:cNvGrpSpPr/>
      </xdr:nvGrpSpPr>
      <xdr:grpSpPr>
        <a:xfrm>
          <a:off x="7231516" y="3986570"/>
          <a:ext cx="1811889" cy="1926404"/>
          <a:chOff x="7815943" y="4010025"/>
          <a:chExt cx="1809750" cy="1905000"/>
        </a:xfrm>
      </xdr:grpSpPr>
      <xdr:grpSp>
        <xdr:nvGrpSpPr>
          <xdr:cNvPr id="80" name="Group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GrpSpPr/>
        </xdr:nvGrpSpPr>
        <xdr:grpSpPr>
          <a:xfrm>
            <a:off x="7815943" y="4010025"/>
            <a:ext cx="1809750" cy="1905000"/>
            <a:chOff x="8512174" y="4010025"/>
            <a:chExt cx="1885950" cy="1905000"/>
          </a:xfrm>
        </xdr:grpSpPr>
        <xdr:graphicFrame macro="">
          <xdr:nvGraphicFramePr>
            <xdr:cNvPr id="59" name="Chart 58">
              <a:extLst>
                <a:ext uri="{FF2B5EF4-FFF2-40B4-BE49-F238E27FC236}">
                  <a16:creationId xmlns:a16="http://schemas.microsoft.com/office/drawing/2014/main" id="{00000000-0008-0000-0900-00003B000000}"/>
                </a:ext>
              </a:extLst>
            </xdr:cNvPr>
            <xdr:cNvGraphicFramePr>
              <a:graphicFrameLocks/>
            </xdr:cNvGraphicFramePr>
          </xdr:nvGraphicFramePr>
          <xdr:xfrm>
            <a:off x="8512174" y="4010025"/>
            <a:ext cx="1885950" cy="1905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sp macro="" textlink="'Target Per Line'!$J$12">
          <xdr:nvSpPr>
            <xdr:cNvPr id="76" name="Rectangle 75">
              <a:extLst>
                <a:ext uri="{FF2B5EF4-FFF2-40B4-BE49-F238E27FC236}">
                  <a16:creationId xmlns:a16="http://schemas.microsoft.com/office/drawing/2014/main" id="{00000000-0008-0000-0900-00004C000000}"/>
                </a:ext>
              </a:extLst>
            </xdr:cNvPr>
            <xdr:cNvSpPr/>
          </xdr:nvSpPr>
          <xdr:spPr>
            <a:xfrm>
              <a:off x="9164637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AF6A2646-78D9-47E3-98BA-F15305645C8C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ctr"/>
                <a:t> </a:t>
              </a:fld>
              <a:endParaRPr lang="id-ID" sz="1100"/>
            </a:p>
          </xdr:txBody>
        </xdr:sp>
        <xdr:sp macro="" textlink="'Target Per Line'!$J$13">
          <xdr:nvSpPr>
            <xdr:cNvPr id="260" name="Rectangle 259">
              <a:extLst>
                <a:ext uri="{FF2B5EF4-FFF2-40B4-BE49-F238E27FC236}">
                  <a16:creationId xmlns:a16="http://schemas.microsoft.com/office/drawing/2014/main" id="{00000000-0008-0000-0900-000004010000}"/>
                </a:ext>
              </a:extLst>
            </xdr:cNvPr>
            <xdr:cNvSpPr/>
          </xdr:nvSpPr>
          <xdr:spPr>
            <a:xfrm>
              <a:off x="9164637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9F20F941-55D3-459E-920A-881FF21C5C5E}" type="TxLink">
                <a:rPr lang="en-US" sz="1200" b="1" i="0" u="none" strike="noStrike">
                  <a:solidFill>
                    <a:srgbClr val="FFFF00"/>
                  </a:solidFill>
                  <a:latin typeface="Calibri"/>
                  <a:cs typeface="Calibri"/>
                </a:rPr>
                <a:pPr algn="ctr"/>
                <a:t> </a:t>
              </a:fld>
              <a:endParaRPr lang="id-ID" sz="1100"/>
            </a:p>
          </xdr:txBody>
        </xdr:sp>
        <xdr:sp macro="" textlink="'Target Per Line'!$J$14">
          <xdr:nvSpPr>
            <xdr:cNvPr id="261" name="Rectangle 260">
              <a:extLst>
                <a:ext uri="{FF2B5EF4-FFF2-40B4-BE49-F238E27FC236}">
                  <a16:creationId xmlns:a16="http://schemas.microsoft.com/office/drawing/2014/main" id="{00000000-0008-0000-0900-000005010000}"/>
                </a:ext>
              </a:extLst>
            </xdr:cNvPr>
            <xdr:cNvSpPr/>
          </xdr:nvSpPr>
          <xdr:spPr>
            <a:xfrm>
              <a:off x="9164637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177350B1-4F3B-442A-935B-00D6FFFDB211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ctr"/>
                <a:t>25.1%</a:t>
              </a:fld>
              <a:endParaRPr lang="id-ID" sz="1100"/>
            </a:p>
          </xdr:txBody>
        </xdr:sp>
      </xdr:grpSp>
      <xdr:grpSp>
        <xdr:nvGrpSpPr>
          <xdr:cNvPr id="147" name="Group 146">
            <a:extLst>
              <a:ext uri="{FF2B5EF4-FFF2-40B4-BE49-F238E27FC236}">
                <a16:creationId xmlns:a16="http://schemas.microsoft.com/office/drawing/2014/main" id="{00000000-0008-0000-0900-000093000000}"/>
              </a:ext>
            </a:extLst>
          </xdr:cNvPr>
          <xdr:cNvGrpSpPr/>
        </xdr:nvGrpSpPr>
        <xdr:grpSpPr>
          <a:xfrm>
            <a:off x="8161566" y="5153025"/>
            <a:ext cx="972000" cy="496800"/>
            <a:chOff x="4933950" y="6000750"/>
            <a:chExt cx="972000" cy="496800"/>
          </a:xfrm>
          <a:noFill/>
        </xdr:grpSpPr>
        <xdr:grpSp>
          <xdr:nvGrpSpPr>
            <xdr:cNvPr id="119" name="Group 118">
              <a:extLst>
                <a:ext uri="{FF2B5EF4-FFF2-40B4-BE49-F238E27FC236}">
                  <a16:creationId xmlns:a16="http://schemas.microsoft.com/office/drawing/2014/main" id="{00000000-0008-0000-0900-000077000000}"/>
                </a:ext>
              </a:extLst>
            </xdr:cNvPr>
            <xdr:cNvGrpSpPr/>
          </xdr:nvGrpSpPr>
          <xdr:grpSpPr>
            <a:xfrm>
              <a:off x="4933950" y="6000750"/>
              <a:ext cx="972000" cy="496800"/>
              <a:chOff x="9067800" y="4238625"/>
              <a:chExt cx="2705100" cy="496800"/>
            </a:xfrm>
            <a:grpFill/>
          </xdr:grpSpPr>
          <xdr:sp macro="" textlink="'Target Per Line'!$J$8">
            <xdr:nvSpPr>
              <xdr:cNvPr id="123" name="Rectangle 122">
                <a:extLst>
                  <a:ext uri="{FF2B5EF4-FFF2-40B4-BE49-F238E27FC236}">
                    <a16:creationId xmlns:a16="http://schemas.microsoft.com/office/drawing/2014/main" id="{00000000-0008-0000-0900-00007B000000}"/>
                  </a:ext>
                </a:extLst>
              </xdr:cNvPr>
              <xdr:cNvSpPr/>
            </xdr:nvSpPr>
            <xdr:spPr>
              <a:xfrm>
                <a:off x="9067800" y="4238625"/>
                <a:ext cx="2705100" cy="4968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7F4DB458-1077-4857-BDCB-2DD7902588CB}" type="TxLink">
                  <a:rPr lang="en-US" sz="1200" b="1" i="0" u="none" strike="noStrike">
                    <a:solidFill>
                      <a:srgbClr val="70AD47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  <xdr:sp macro="" textlink="'Target Per Line'!$J$10">
            <xdr:nvSpPr>
              <xdr:cNvPr id="124" name="Rectangle 123">
                <a:extLst>
                  <a:ext uri="{FF2B5EF4-FFF2-40B4-BE49-F238E27FC236}">
                    <a16:creationId xmlns:a16="http://schemas.microsoft.com/office/drawing/2014/main" id="{00000000-0008-0000-0900-00007C000000}"/>
                  </a:ext>
                </a:extLst>
              </xdr:cNvPr>
              <xdr:cNvSpPr/>
            </xdr:nvSpPr>
            <xdr:spPr>
              <a:xfrm>
                <a:off x="9067800" y="4371825"/>
                <a:ext cx="2705100" cy="3636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93842FA3-EBB1-4E87-AA78-C13511A41090}" type="TxLink">
                  <a:rPr lang="en-US" sz="1200" b="1" i="0" u="none" strike="noStrike">
                    <a:solidFill>
                      <a:srgbClr val="70AD47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</xdr:grpSp>
        <xdr:grpSp>
          <xdr:nvGrpSpPr>
            <xdr:cNvPr id="120" name="Group 119">
              <a:extLst>
                <a:ext uri="{FF2B5EF4-FFF2-40B4-BE49-F238E27FC236}">
                  <a16:creationId xmlns:a16="http://schemas.microsoft.com/office/drawing/2014/main" id="{00000000-0008-0000-0900-000078000000}"/>
                </a:ext>
              </a:extLst>
            </xdr:cNvPr>
            <xdr:cNvGrpSpPr/>
          </xdr:nvGrpSpPr>
          <xdr:grpSpPr>
            <a:xfrm>
              <a:off x="4933950" y="6000750"/>
              <a:ext cx="972000" cy="495300"/>
              <a:chOff x="11039475" y="3324225"/>
              <a:chExt cx="2705100" cy="495300"/>
            </a:xfrm>
            <a:grpFill/>
          </xdr:grpSpPr>
          <xdr:sp macro="" textlink="'Target Per Line'!$J$9">
            <xdr:nvSpPr>
              <xdr:cNvPr id="121" name="Rectangle 120">
                <a:extLst>
                  <a:ext uri="{FF2B5EF4-FFF2-40B4-BE49-F238E27FC236}">
                    <a16:creationId xmlns:a16="http://schemas.microsoft.com/office/drawing/2014/main" id="{00000000-0008-0000-0900-000079000000}"/>
                  </a:ext>
                </a:extLst>
              </xdr:cNvPr>
              <xdr:cNvSpPr/>
            </xdr:nvSpPr>
            <xdr:spPr>
              <a:xfrm>
                <a:off x="11039475" y="3324225"/>
                <a:ext cx="2705100" cy="4953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CA38A04A-2F18-4DF1-A1D0-7C8E33751E06}" type="TxLink">
                  <a:rPr lang="en-US" sz="1200" b="1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 algn="l"/>
                  <a:t>KURANG</a:t>
                </a:fld>
                <a:endParaRPr lang="id-ID" sz="1100"/>
              </a:p>
            </xdr:txBody>
          </xdr:sp>
          <xdr:sp macro="" textlink="'Target Per Line'!$J$11">
            <xdr:nvSpPr>
              <xdr:cNvPr id="122" name="Rectangle 121">
                <a:extLst>
                  <a:ext uri="{FF2B5EF4-FFF2-40B4-BE49-F238E27FC236}">
                    <a16:creationId xmlns:a16="http://schemas.microsoft.com/office/drawing/2014/main" id="{00000000-0008-0000-0900-00007A000000}"/>
                  </a:ext>
                </a:extLst>
              </xdr:cNvPr>
              <xdr:cNvSpPr/>
            </xdr:nvSpPr>
            <xdr:spPr>
              <a:xfrm>
                <a:off x="11039475" y="3457575"/>
                <a:ext cx="2705100" cy="36195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4A95585C-BBF3-44C1-9463-88275CC8B16F}" type="TxLink">
                  <a:rPr lang="en-US" sz="1200" b="1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 algn="l"/>
                  <a:t>288,086 Pcs</a:t>
                </a:fld>
                <a:endParaRPr lang="id-ID" sz="1100"/>
              </a:p>
            </xdr:txBody>
          </xdr:sp>
        </xdr:grpSp>
      </xdr:grpSp>
    </xdr:grpSp>
    <xdr:clientData/>
  </xdr:twoCellAnchor>
  <xdr:twoCellAnchor>
    <xdr:from>
      <xdr:col>14</xdr:col>
      <xdr:colOff>64425</xdr:colOff>
      <xdr:row>20</xdr:row>
      <xdr:rowOff>133761</xdr:rowOff>
    </xdr:from>
    <xdr:to>
      <xdr:col>17</xdr:col>
      <xdr:colOff>46230</xdr:colOff>
      <xdr:row>30</xdr:row>
      <xdr:rowOff>133761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8604818" y="3986570"/>
          <a:ext cx="1811890" cy="1926404"/>
          <a:chOff x="8988879" y="4010025"/>
          <a:chExt cx="1809750" cy="1905000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GrpSpPr/>
        </xdr:nvGrpSpPr>
        <xdr:grpSpPr>
          <a:xfrm>
            <a:off x="8988879" y="4010025"/>
            <a:ext cx="1809750" cy="1905000"/>
            <a:chOff x="9832974" y="4010025"/>
            <a:chExt cx="1885950" cy="1905000"/>
          </a:xfrm>
        </xdr:grpSpPr>
        <xdr:graphicFrame macro="">
          <xdr:nvGraphicFramePr>
            <xdr:cNvPr id="60" name="Chart 59">
              <a:extLst>
                <a:ext uri="{FF2B5EF4-FFF2-40B4-BE49-F238E27FC236}">
                  <a16:creationId xmlns:a16="http://schemas.microsoft.com/office/drawing/2014/main" id="{00000000-0008-0000-0900-00003C000000}"/>
                </a:ext>
              </a:extLst>
            </xdr:cNvPr>
            <xdr:cNvGraphicFramePr>
              <a:graphicFrameLocks/>
            </xdr:cNvGraphicFramePr>
          </xdr:nvGraphicFramePr>
          <xdr:xfrm>
            <a:off x="9832974" y="4010025"/>
            <a:ext cx="1885950" cy="1905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8"/>
            </a:graphicData>
          </a:graphic>
        </xdr:graphicFrame>
        <xdr:sp macro="" textlink="'Target Per Line'!$K$12">
          <xdr:nvSpPr>
            <xdr:cNvPr id="77" name="Rectangle 76">
              <a:extLst>
                <a:ext uri="{FF2B5EF4-FFF2-40B4-BE49-F238E27FC236}">
                  <a16:creationId xmlns:a16="http://schemas.microsoft.com/office/drawing/2014/main" id="{00000000-0008-0000-0900-00004D000000}"/>
                </a:ext>
              </a:extLst>
            </xdr:cNvPr>
            <xdr:cNvSpPr/>
          </xdr:nvSpPr>
          <xdr:spPr>
            <a:xfrm>
              <a:off x="10485437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7D597B83-045A-4414-987E-6D7EEE951081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ctr"/>
                <a:t>90.4%</a:t>
              </a:fld>
              <a:endParaRPr lang="id-ID" sz="1100"/>
            </a:p>
          </xdr:txBody>
        </xdr:sp>
        <xdr:sp macro="" textlink="'Target Per Line'!$K$13">
          <xdr:nvSpPr>
            <xdr:cNvPr id="262" name="Rectangle 261">
              <a:extLst>
                <a:ext uri="{FF2B5EF4-FFF2-40B4-BE49-F238E27FC236}">
                  <a16:creationId xmlns:a16="http://schemas.microsoft.com/office/drawing/2014/main" id="{00000000-0008-0000-0900-000006010000}"/>
                </a:ext>
              </a:extLst>
            </xdr:cNvPr>
            <xdr:cNvSpPr/>
          </xdr:nvSpPr>
          <xdr:spPr>
            <a:xfrm>
              <a:off x="10485437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9A9942D7-CE49-4874-963F-C35AAE4DC5B7}" type="TxLink">
                <a:rPr lang="en-US" sz="1200" b="1" i="0" u="none" strike="noStrike">
                  <a:solidFill>
                    <a:srgbClr val="FFFF00"/>
                  </a:solidFill>
                  <a:latin typeface="Calibri"/>
                  <a:cs typeface="Calibri"/>
                </a:rPr>
                <a:pPr algn="ctr"/>
                <a:t> </a:t>
              </a:fld>
              <a:endParaRPr lang="id-ID" sz="1100"/>
            </a:p>
          </xdr:txBody>
        </xdr:sp>
        <xdr:sp macro="" textlink="'Target Per Line'!$K$14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900-000007010000}"/>
                </a:ext>
              </a:extLst>
            </xdr:cNvPr>
            <xdr:cNvSpPr/>
          </xdr:nvSpPr>
          <xdr:spPr>
            <a:xfrm>
              <a:off x="10485437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DF48EA61-DED0-466C-B856-6608E212754F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ctr"/>
                <a:t> </a:t>
              </a:fld>
              <a:endParaRPr lang="id-ID" sz="1100"/>
            </a:p>
          </xdr:txBody>
        </xdr:sp>
      </xdr:grpSp>
      <xdr:grpSp>
        <xdr:nvGrpSpPr>
          <xdr:cNvPr id="148" name="Group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GrpSpPr/>
        </xdr:nvGrpSpPr>
        <xdr:grpSpPr>
          <a:xfrm>
            <a:off x="9339945" y="5153025"/>
            <a:ext cx="972000" cy="496800"/>
            <a:chOff x="6172201" y="6000750"/>
            <a:chExt cx="972000" cy="496800"/>
          </a:xfrm>
          <a:noFill/>
        </xdr:grpSpPr>
        <xdr:grpSp>
          <xdr:nvGrpSpPr>
            <xdr:cNvPr id="126" name="Group 125">
              <a:extLst>
                <a:ext uri="{FF2B5EF4-FFF2-40B4-BE49-F238E27FC236}">
                  <a16:creationId xmlns:a16="http://schemas.microsoft.com/office/drawing/2014/main" id="{00000000-0008-0000-0900-00007E000000}"/>
                </a:ext>
              </a:extLst>
            </xdr:cNvPr>
            <xdr:cNvGrpSpPr/>
          </xdr:nvGrpSpPr>
          <xdr:grpSpPr>
            <a:xfrm>
              <a:off x="6172201" y="6000750"/>
              <a:ext cx="972000" cy="496800"/>
              <a:chOff x="9067800" y="4238625"/>
              <a:chExt cx="2705100" cy="496800"/>
            </a:xfrm>
            <a:grpFill/>
          </xdr:grpSpPr>
          <xdr:sp macro="" textlink="'Target Per Line'!$K$8">
            <xdr:nvSpPr>
              <xdr:cNvPr id="130" name="Rectangle 129">
                <a:extLst>
                  <a:ext uri="{FF2B5EF4-FFF2-40B4-BE49-F238E27FC236}">
                    <a16:creationId xmlns:a16="http://schemas.microsoft.com/office/drawing/2014/main" id="{00000000-0008-0000-0900-000082000000}"/>
                  </a:ext>
                </a:extLst>
              </xdr:cNvPr>
              <xdr:cNvSpPr/>
            </xdr:nvSpPr>
            <xdr:spPr>
              <a:xfrm>
                <a:off x="9067800" y="4238625"/>
                <a:ext cx="2705100" cy="4968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A0A688B8-61A9-45E3-87AA-A2A6A74937DD}" type="TxLink">
                  <a:rPr lang="en-US" sz="1200" b="1" i="0" u="none" strike="noStrike">
                    <a:solidFill>
                      <a:srgbClr val="70AD47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  <xdr:sp macro="" textlink="'Target Per Line'!$K$10">
            <xdr:nvSpPr>
              <xdr:cNvPr id="131" name="Rectangle 130">
                <a:extLst>
                  <a:ext uri="{FF2B5EF4-FFF2-40B4-BE49-F238E27FC236}">
                    <a16:creationId xmlns:a16="http://schemas.microsoft.com/office/drawing/2014/main" id="{00000000-0008-0000-0900-000083000000}"/>
                  </a:ext>
                </a:extLst>
              </xdr:cNvPr>
              <xdr:cNvSpPr/>
            </xdr:nvSpPr>
            <xdr:spPr>
              <a:xfrm>
                <a:off x="9067800" y="4371825"/>
                <a:ext cx="2705100" cy="3636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6CCE5830-1DC1-4222-958D-6DD826EFB56E}" type="TxLink">
                  <a:rPr lang="en-US" sz="1200" b="1" i="0" u="none" strike="noStrike">
                    <a:solidFill>
                      <a:srgbClr val="70AD47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</xdr:grpSp>
        <xdr:grpSp>
          <xdr:nvGrpSpPr>
            <xdr:cNvPr id="127" name="Group 126">
              <a:extLst>
                <a:ext uri="{FF2B5EF4-FFF2-40B4-BE49-F238E27FC236}">
                  <a16:creationId xmlns:a16="http://schemas.microsoft.com/office/drawing/2014/main" id="{00000000-0008-0000-0900-00007F000000}"/>
                </a:ext>
              </a:extLst>
            </xdr:cNvPr>
            <xdr:cNvGrpSpPr/>
          </xdr:nvGrpSpPr>
          <xdr:grpSpPr>
            <a:xfrm>
              <a:off x="6172201" y="6000750"/>
              <a:ext cx="972000" cy="495300"/>
              <a:chOff x="13133632" y="3476625"/>
              <a:chExt cx="2705100" cy="495300"/>
            </a:xfrm>
            <a:grpFill/>
          </xdr:grpSpPr>
          <xdr:sp macro="" textlink="'Target Per Line'!$K$9">
            <xdr:nvSpPr>
              <xdr:cNvPr id="128" name="Rectangle 127">
                <a:extLst>
                  <a:ext uri="{FF2B5EF4-FFF2-40B4-BE49-F238E27FC236}">
                    <a16:creationId xmlns:a16="http://schemas.microsoft.com/office/drawing/2014/main" id="{00000000-0008-0000-0900-000080000000}"/>
                  </a:ext>
                </a:extLst>
              </xdr:cNvPr>
              <xdr:cNvSpPr/>
            </xdr:nvSpPr>
            <xdr:spPr>
              <a:xfrm>
                <a:off x="13133632" y="3476625"/>
                <a:ext cx="2705100" cy="4953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C0E2F57E-E14F-4D82-946C-DFBC093BD24B}" type="TxLink">
                  <a:rPr lang="en-US" sz="1200" b="1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 algn="l"/>
                  <a:t>KURANG</a:t>
                </a:fld>
                <a:endParaRPr lang="id-ID" sz="1100"/>
              </a:p>
            </xdr:txBody>
          </xdr:sp>
          <xdr:sp macro="" textlink="'Target Per Line'!$K$11">
            <xdr:nvSpPr>
              <xdr:cNvPr id="129" name="Rectangle 128">
                <a:extLst>
                  <a:ext uri="{FF2B5EF4-FFF2-40B4-BE49-F238E27FC236}">
                    <a16:creationId xmlns:a16="http://schemas.microsoft.com/office/drawing/2014/main" id="{00000000-0008-0000-0900-000081000000}"/>
                  </a:ext>
                </a:extLst>
              </xdr:cNvPr>
              <xdr:cNvSpPr/>
            </xdr:nvSpPr>
            <xdr:spPr>
              <a:xfrm>
                <a:off x="13133632" y="3609975"/>
                <a:ext cx="2705100" cy="36195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AA5DE0E6-D80A-4A67-BD2B-3166FD0B19BF}" type="TxLink">
                  <a:rPr lang="en-US" sz="1200" b="1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 algn="l"/>
                  <a:t>176,614 Pcs</a:t>
                </a:fld>
                <a:endParaRPr lang="id-ID" sz="1100"/>
              </a:p>
            </xdr:txBody>
          </xdr:sp>
        </xdr:grpSp>
      </xdr:grpSp>
    </xdr:grpSp>
    <xdr:clientData/>
  </xdr:twoCellAnchor>
  <xdr:twoCellAnchor>
    <xdr:from>
      <xdr:col>16</xdr:col>
      <xdr:colOff>212761</xdr:colOff>
      <xdr:row>20</xdr:row>
      <xdr:rowOff>133761</xdr:rowOff>
    </xdr:from>
    <xdr:to>
      <xdr:col>19</xdr:col>
      <xdr:colOff>194566</xdr:colOff>
      <xdr:row>30</xdr:row>
      <xdr:rowOff>133761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900-00009D000000}"/>
            </a:ext>
          </a:extLst>
        </xdr:cNvPr>
        <xdr:cNvGrpSpPr/>
      </xdr:nvGrpSpPr>
      <xdr:grpSpPr>
        <a:xfrm>
          <a:off x="9973210" y="3986570"/>
          <a:ext cx="1811890" cy="1926404"/>
          <a:chOff x="10161815" y="4010025"/>
          <a:chExt cx="1809750" cy="1905000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GrpSpPr/>
        </xdr:nvGrpSpPr>
        <xdr:grpSpPr>
          <a:xfrm>
            <a:off x="10161815" y="4010025"/>
            <a:ext cx="1809750" cy="1905000"/>
            <a:chOff x="11153774" y="4010025"/>
            <a:chExt cx="1885950" cy="1905000"/>
          </a:xfrm>
        </xdr:grpSpPr>
        <xdr:graphicFrame macro="">
          <xdr:nvGraphicFramePr>
            <xdr:cNvPr id="61" name="Chart 60">
              <a:extLst>
                <a:ext uri="{FF2B5EF4-FFF2-40B4-BE49-F238E27FC236}">
                  <a16:creationId xmlns:a16="http://schemas.microsoft.com/office/drawing/2014/main" id="{00000000-0008-0000-0900-00003D000000}"/>
                </a:ext>
              </a:extLst>
            </xdr:cNvPr>
            <xdr:cNvGraphicFramePr>
              <a:graphicFrameLocks/>
            </xdr:cNvGraphicFramePr>
          </xdr:nvGraphicFramePr>
          <xdr:xfrm>
            <a:off x="11153774" y="4010025"/>
            <a:ext cx="1885950" cy="1905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'Target Per Line'!$L$12">
          <xdr:nvSpPr>
            <xdr:cNvPr id="81" name="Rectangle 80">
              <a:extLst>
                <a:ext uri="{FF2B5EF4-FFF2-40B4-BE49-F238E27FC236}">
                  <a16:creationId xmlns:a16="http://schemas.microsoft.com/office/drawing/2014/main" id="{00000000-0008-0000-0900-000051000000}"/>
                </a:ext>
              </a:extLst>
            </xdr:cNvPr>
            <xdr:cNvSpPr/>
          </xdr:nvSpPr>
          <xdr:spPr>
            <a:xfrm>
              <a:off x="11806237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231C14F1-D472-442B-8FB4-03374B9A989C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ctr"/>
                <a:t> </a:t>
              </a:fld>
              <a:endParaRPr lang="id-ID" sz="1100"/>
            </a:p>
          </xdr:txBody>
        </xdr:sp>
        <xdr:sp macro="" textlink="'Target Per Line'!$L$13">
          <xdr:nvSpPr>
            <xdr:cNvPr id="264" name="Rectangle 263">
              <a:extLst>
                <a:ext uri="{FF2B5EF4-FFF2-40B4-BE49-F238E27FC236}">
                  <a16:creationId xmlns:a16="http://schemas.microsoft.com/office/drawing/2014/main" id="{00000000-0008-0000-0900-000008010000}"/>
                </a:ext>
              </a:extLst>
            </xdr:cNvPr>
            <xdr:cNvSpPr/>
          </xdr:nvSpPr>
          <xdr:spPr>
            <a:xfrm>
              <a:off x="11806237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DBD5D2BE-8F32-407B-8AF0-17FA1BD7B250}" type="TxLink">
                <a:rPr lang="en-US" sz="1200" b="1" i="0" u="none" strike="noStrike">
                  <a:solidFill>
                    <a:schemeClr val="accent4"/>
                  </a:solidFill>
                  <a:latin typeface="Calibri"/>
                  <a:cs typeface="Calibri"/>
                </a:rPr>
                <a:pPr algn="ctr"/>
                <a:t>87.3%</a:t>
              </a:fld>
              <a:endParaRPr lang="id-ID" sz="1100">
                <a:solidFill>
                  <a:schemeClr val="accent4"/>
                </a:solidFill>
              </a:endParaRPr>
            </a:p>
          </xdr:txBody>
        </xdr:sp>
        <xdr:sp macro="" textlink="'Target Per Line'!$L$14">
          <xdr:nvSpPr>
            <xdr:cNvPr id="265" name="Rectangle 264">
              <a:extLst>
                <a:ext uri="{FF2B5EF4-FFF2-40B4-BE49-F238E27FC236}">
                  <a16:creationId xmlns:a16="http://schemas.microsoft.com/office/drawing/2014/main" id="{00000000-0008-0000-0900-000009010000}"/>
                </a:ext>
              </a:extLst>
            </xdr:cNvPr>
            <xdr:cNvSpPr/>
          </xdr:nvSpPr>
          <xdr:spPr>
            <a:xfrm>
              <a:off x="11806237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28F5511E-AE47-4E26-B568-758BF92F2F92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ctr"/>
                <a:t> </a:t>
              </a:fld>
              <a:endParaRPr lang="id-ID" sz="1100"/>
            </a:p>
          </xdr:txBody>
        </xdr:sp>
      </xdr:grpSp>
      <xdr:grpSp>
        <xdr:nvGrpSpPr>
          <xdr:cNvPr id="149" name="Group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GrpSpPr/>
        </xdr:nvGrpSpPr>
        <xdr:grpSpPr>
          <a:xfrm>
            <a:off x="10518324" y="5153025"/>
            <a:ext cx="972000" cy="496800"/>
            <a:chOff x="7362825" y="6019800"/>
            <a:chExt cx="972000" cy="496800"/>
          </a:xfrm>
          <a:noFill/>
        </xdr:grpSpPr>
        <xdr:grpSp>
          <xdr:nvGrpSpPr>
            <xdr:cNvPr id="133" name="Group 132">
              <a:extLst>
                <a:ext uri="{FF2B5EF4-FFF2-40B4-BE49-F238E27FC236}">
                  <a16:creationId xmlns:a16="http://schemas.microsoft.com/office/drawing/2014/main" id="{00000000-0008-0000-0900-000085000000}"/>
                </a:ext>
              </a:extLst>
            </xdr:cNvPr>
            <xdr:cNvGrpSpPr/>
          </xdr:nvGrpSpPr>
          <xdr:grpSpPr>
            <a:xfrm>
              <a:off x="7362825" y="6019800"/>
              <a:ext cx="972000" cy="496800"/>
              <a:chOff x="9067800" y="4238625"/>
              <a:chExt cx="2705100" cy="496800"/>
            </a:xfrm>
            <a:grpFill/>
          </xdr:grpSpPr>
          <xdr:sp macro="" textlink="'Target Per Line'!$L$8">
            <xdr:nvSpPr>
              <xdr:cNvPr id="137" name="Rectangle 136">
                <a:extLst>
                  <a:ext uri="{FF2B5EF4-FFF2-40B4-BE49-F238E27FC236}">
                    <a16:creationId xmlns:a16="http://schemas.microsoft.com/office/drawing/2014/main" id="{00000000-0008-0000-0900-000089000000}"/>
                  </a:ext>
                </a:extLst>
              </xdr:cNvPr>
              <xdr:cNvSpPr/>
            </xdr:nvSpPr>
            <xdr:spPr>
              <a:xfrm>
                <a:off x="9067800" y="4238625"/>
                <a:ext cx="2705100" cy="4968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FAC27A3C-77CA-451D-B98E-80A9FAFAC93F}" type="TxLink">
                  <a:rPr lang="en-US" sz="1200" b="1" i="0" u="none" strike="noStrike">
                    <a:solidFill>
                      <a:srgbClr val="70AD47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  <xdr:sp macro="" textlink="'Target Per Line'!$L$10">
            <xdr:nvSpPr>
              <xdr:cNvPr id="138" name="Rectangle 137">
                <a:extLst>
                  <a:ext uri="{FF2B5EF4-FFF2-40B4-BE49-F238E27FC236}">
                    <a16:creationId xmlns:a16="http://schemas.microsoft.com/office/drawing/2014/main" id="{00000000-0008-0000-0900-00008A000000}"/>
                  </a:ext>
                </a:extLst>
              </xdr:cNvPr>
              <xdr:cNvSpPr/>
            </xdr:nvSpPr>
            <xdr:spPr>
              <a:xfrm>
                <a:off x="9067800" y="4371825"/>
                <a:ext cx="2705100" cy="3636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41D22797-238A-4699-8739-D4EF7B8A1D29}" type="TxLink">
                  <a:rPr lang="en-US" sz="1200" b="1" i="0" u="none" strike="noStrike">
                    <a:solidFill>
                      <a:srgbClr val="70AD47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</xdr:grpSp>
        <xdr:grpSp>
          <xdr:nvGrpSpPr>
            <xdr:cNvPr id="134" name="Group 133">
              <a:extLst>
                <a:ext uri="{FF2B5EF4-FFF2-40B4-BE49-F238E27FC236}">
                  <a16:creationId xmlns:a16="http://schemas.microsoft.com/office/drawing/2014/main" id="{00000000-0008-0000-0900-000086000000}"/>
                </a:ext>
              </a:extLst>
            </xdr:cNvPr>
            <xdr:cNvGrpSpPr/>
          </xdr:nvGrpSpPr>
          <xdr:grpSpPr>
            <a:xfrm>
              <a:off x="7362825" y="6019800"/>
              <a:ext cx="972000" cy="495300"/>
              <a:chOff x="11039475" y="3324225"/>
              <a:chExt cx="2705100" cy="495300"/>
            </a:xfrm>
            <a:grpFill/>
          </xdr:grpSpPr>
          <xdr:sp macro="" textlink="'Target Per Line'!$L$9">
            <xdr:nvSpPr>
              <xdr:cNvPr id="135" name="Rectangle 134">
                <a:extLst>
                  <a:ext uri="{FF2B5EF4-FFF2-40B4-BE49-F238E27FC236}">
                    <a16:creationId xmlns:a16="http://schemas.microsoft.com/office/drawing/2014/main" id="{00000000-0008-0000-0900-000087000000}"/>
                  </a:ext>
                </a:extLst>
              </xdr:cNvPr>
              <xdr:cNvSpPr/>
            </xdr:nvSpPr>
            <xdr:spPr>
              <a:xfrm>
                <a:off x="11039475" y="3324225"/>
                <a:ext cx="2705100" cy="4953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47A6E53F-EC54-4E2A-9CF4-E27AB8E5F5E8}" type="TxLink">
                  <a:rPr lang="en-US" sz="1200" b="1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 algn="l"/>
                  <a:t>KURANG</a:t>
                </a:fld>
                <a:endParaRPr lang="id-ID" sz="1100"/>
              </a:p>
            </xdr:txBody>
          </xdr:sp>
          <xdr:sp macro="" textlink="'Target Per Line'!$L$11">
            <xdr:nvSpPr>
              <xdr:cNvPr id="136" name="Rectangle 135">
                <a:extLst>
                  <a:ext uri="{FF2B5EF4-FFF2-40B4-BE49-F238E27FC236}">
                    <a16:creationId xmlns:a16="http://schemas.microsoft.com/office/drawing/2014/main" id="{00000000-0008-0000-0900-000088000000}"/>
                  </a:ext>
                </a:extLst>
              </xdr:cNvPr>
              <xdr:cNvSpPr/>
            </xdr:nvSpPr>
            <xdr:spPr>
              <a:xfrm>
                <a:off x="11039475" y="3457575"/>
                <a:ext cx="2705100" cy="36195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5B8090E0-BE54-4A46-8E83-2C1E021CD717}" type="TxLink">
                  <a:rPr lang="en-US" sz="1200" b="1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 algn="l"/>
                  <a:t>456,641 Pcs</a:t>
                </a:fld>
                <a:endParaRPr lang="id-ID" sz="1100"/>
              </a:p>
            </xdr:txBody>
          </xdr:sp>
        </xdr:grpSp>
      </xdr:grpSp>
    </xdr:grpSp>
    <xdr:clientData/>
  </xdr:twoCellAnchor>
  <xdr:twoCellAnchor>
    <xdr:from>
      <xdr:col>18</xdr:col>
      <xdr:colOff>361094</xdr:colOff>
      <xdr:row>20</xdr:row>
      <xdr:rowOff>133761</xdr:rowOff>
    </xdr:from>
    <xdr:to>
      <xdr:col>21</xdr:col>
      <xdr:colOff>342899</xdr:colOff>
      <xdr:row>30</xdr:row>
      <xdr:rowOff>133761</xdr:rowOff>
    </xdr:to>
    <xdr:grpSp>
      <xdr:nvGrpSpPr>
        <xdr:cNvPr id="158" name="Group 157">
          <a:extLst>
            <a:ext uri="{FF2B5EF4-FFF2-40B4-BE49-F238E27FC236}">
              <a16:creationId xmlns:a16="http://schemas.microsoft.com/office/drawing/2014/main" id="{00000000-0008-0000-0900-00009E000000}"/>
            </a:ext>
          </a:extLst>
        </xdr:cNvPr>
        <xdr:cNvGrpSpPr/>
      </xdr:nvGrpSpPr>
      <xdr:grpSpPr>
        <a:xfrm>
          <a:off x="11341600" y="3986570"/>
          <a:ext cx="1811889" cy="1926404"/>
          <a:chOff x="11334749" y="4010025"/>
          <a:chExt cx="1809750" cy="1905000"/>
        </a:xfrm>
      </xdr:grpSpPr>
      <xdr:grpSp>
        <xdr:nvGrpSpPr>
          <xdr:cNvPr id="84" name="Group 83">
            <a:extLst>
              <a:ext uri="{FF2B5EF4-FFF2-40B4-BE49-F238E27FC236}">
                <a16:creationId xmlns:a16="http://schemas.microsoft.com/office/drawing/2014/main" id="{00000000-0008-0000-0900-000054000000}"/>
              </a:ext>
            </a:extLst>
          </xdr:cNvPr>
          <xdr:cNvGrpSpPr/>
        </xdr:nvGrpSpPr>
        <xdr:grpSpPr>
          <a:xfrm>
            <a:off x="11334749" y="4010025"/>
            <a:ext cx="1809750" cy="1905000"/>
            <a:chOff x="12153899" y="4010025"/>
            <a:chExt cx="1885950" cy="1905000"/>
          </a:xfrm>
        </xdr:grpSpPr>
        <xdr:graphicFrame macro="">
          <xdr:nvGraphicFramePr>
            <xdr:cNvPr id="71" name="Chart 70">
              <a:extLst>
                <a:ext uri="{FF2B5EF4-FFF2-40B4-BE49-F238E27FC236}">
                  <a16:creationId xmlns:a16="http://schemas.microsoft.com/office/drawing/2014/main" id="{00000000-0008-0000-0900-000047000000}"/>
                </a:ext>
              </a:extLst>
            </xdr:cNvPr>
            <xdr:cNvGraphicFramePr>
              <a:graphicFrameLocks/>
            </xdr:cNvGraphicFramePr>
          </xdr:nvGraphicFramePr>
          <xdr:xfrm>
            <a:off x="12153899" y="4010025"/>
            <a:ext cx="1885950" cy="1905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'Target Per Line'!$M$12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0900-00004E000000}"/>
                </a:ext>
              </a:extLst>
            </xdr:cNvPr>
            <xdr:cNvSpPr/>
          </xdr:nvSpPr>
          <xdr:spPr>
            <a:xfrm>
              <a:off x="12806362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C044D133-857C-4778-93EC-C275743F545C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ctr"/>
                <a:t> </a:t>
              </a:fld>
              <a:endParaRPr lang="id-ID" sz="1100"/>
            </a:p>
          </xdr:txBody>
        </xdr:sp>
        <xdr:sp macro="" textlink="'Target Per Line'!$M$13">
          <xdr:nvSpPr>
            <xdr:cNvPr id="267" name="Rectangle 266">
              <a:extLst>
                <a:ext uri="{FF2B5EF4-FFF2-40B4-BE49-F238E27FC236}">
                  <a16:creationId xmlns:a16="http://schemas.microsoft.com/office/drawing/2014/main" id="{00000000-0008-0000-0900-00000B010000}"/>
                </a:ext>
              </a:extLst>
            </xdr:cNvPr>
            <xdr:cNvSpPr/>
          </xdr:nvSpPr>
          <xdr:spPr>
            <a:xfrm>
              <a:off x="12806362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AF251FF9-00BF-4C9A-A135-2A07F0147D9B}" type="TxLink">
                <a:rPr lang="en-US" sz="1200" b="1" i="0" u="none" strike="noStrike">
                  <a:solidFill>
                    <a:srgbClr val="FFFF00"/>
                  </a:solidFill>
                  <a:latin typeface="Calibri"/>
                  <a:cs typeface="Calibri"/>
                </a:rPr>
                <a:pPr algn="ctr"/>
                <a:t> </a:t>
              </a:fld>
              <a:endParaRPr lang="id-ID" sz="1100"/>
            </a:p>
          </xdr:txBody>
        </xdr:sp>
        <xdr:sp macro="" textlink="'Target Per Line'!$M$14">
          <xdr:nvSpPr>
            <xdr:cNvPr id="270" name="Rectangle 269">
              <a:extLst>
                <a:ext uri="{FF2B5EF4-FFF2-40B4-BE49-F238E27FC236}">
                  <a16:creationId xmlns:a16="http://schemas.microsoft.com/office/drawing/2014/main" id="{00000000-0008-0000-0900-00000E010000}"/>
                </a:ext>
              </a:extLst>
            </xdr:cNvPr>
            <xdr:cNvSpPr/>
          </xdr:nvSpPr>
          <xdr:spPr>
            <a:xfrm>
              <a:off x="12806362" y="4886325"/>
              <a:ext cx="581024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t"/>
            <a:lstStyle/>
            <a:p>
              <a:pPr algn="ctr"/>
              <a:fld id="{8EDC0BE0-7A5F-40E9-AD98-258D13EBEEA3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ctr"/>
                <a:t>74.1%</a:t>
              </a:fld>
              <a:endParaRPr lang="id-ID" sz="1100"/>
            </a:p>
          </xdr:txBody>
        </xdr:sp>
      </xdr:grpSp>
      <xdr:grpSp>
        <xdr:nvGrpSpPr>
          <xdr:cNvPr id="146" name="Group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GrpSpPr/>
        </xdr:nvGrpSpPr>
        <xdr:grpSpPr>
          <a:xfrm>
            <a:off x="11696701" y="5153025"/>
            <a:ext cx="972000" cy="496800"/>
            <a:chOff x="8648701" y="6438900"/>
            <a:chExt cx="972000" cy="496800"/>
          </a:xfrm>
          <a:noFill/>
        </xdr:grpSpPr>
        <xdr:grpSp>
          <xdr:nvGrpSpPr>
            <xdr:cNvPr id="140" name="Group 139">
              <a:extLst>
                <a:ext uri="{FF2B5EF4-FFF2-40B4-BE49-F238E27FC236}">
                  <a16:creationId xmlns:a16="http://schemas.microsoft.com/office/drawing/2014/main" id="{00000000-0008-0000-0900-00008C000000}"/>
                </a:ext>
              </a:extLst>
            </xdr:cNvPr>
            <xdr:cNvGrpSpPr/>
          </xdr:nvGrpSpPr>
          <xdr:grpSpPr>
            <a:xfrm>
              <a:off x="8648701" y="6438900"/>
              <a:ext cx="972000" cy="496800"/>
              <a:chOff x="9067800" y="4238625"/>
              <a:chExt cx="2705100" cy="496800"/>
            </a:xfrm>
            <a:grpFill/>
          </xdr:grpSpPr>
          <xdr:sp macro="" textlink="'Target Per Line'!$M$8">
            <xdr:nvSpPr>
              <xdr:cNvPr id="144" name="Rectangle 143">
                <a:extLst>
                  <a:ext uri="{FF2B5EF4-FFF2-40B4-BE49-F238E27FC236}">
                    <a16:creationId xmlns:a16="http://schemas.microsoft.com/office/drawing/2014/main" id="{00000000-0008-0000-0900-000090000000}"/>
                  </a:ext>
                </a:extLst>
              </xdr:cNvPr>
              <xdr:cNvSpPr/>
            </xdr:nvSpPr>
            <xdr:spPr>
              <a:xfrm>
                <a:off x="9067800" y="4238625"/>
                <a:ext cx="2705100" cy="4968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9E6572BA-EA47-4F6B-B2A9-D4D9FC262A5B}" type="TxLink">
                  <a:rPr lang="en-US" sz="1200" b="1" i="0" u="none" strike="noStrike">
                    <a:solidFill>
                      <a:srgbClr val="70AD47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  <xdr:sp macro="" textlink="'Target Per Line'!$M$10">
            <xdr:nvSpPr>
              <xdr:cNvPr id="145" name="Rectangle 144">
                <a:extLst>
                  <a:ext uri="{FF2B5EF4-FFF2-40B4-BE49-F238E27FC236}">
                    <a16:creationId xmlns:a16="http://schemas.microsoft.com/office/drawing/2014/main" id="{00000000-0008-0000-0900-000091000000}"/>
                  </a:ext>
                </a:extLst>
              </xdr:cNvPr>
              <xdr:cNvSpPr/>
            </xdr:nvSpPr>
            <xdr:spPr>
              <a:xfrm>
                <a:off x="9067800" y="4371825"/>
                <a:ext cx="2705100" cy="3636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C0E172A2-363F-41D8-8889-625E7A8A500E}" type="TxLink">
                  <a:rPr lang="en-US" sz="1200" b="1" i="0" u="none" strike="noStrike">
                    <a:solidFill>
                      <a:srgbClr val="70AD47"/>
                    </a:solidFill>
                    <a:latin typeface="Calibri"/>
                    <a:cs typeface="Calibri"/>
                  </a:rPr>
                  <a:pPr algn="l"/>
                  <a:t> </a:t>
                </a:fld>
                <a:endParaRPr lang="id-ID" sz="1100"/>
              </a:p>
            </xdr:txBody>
          </xdr:sp>
        </xdr:grpSp>
        <xdr:grpSp>
          <xdr:nvGrpSpPr>
            <xdr:cNvPr id="141" name="Group 140">
              <a:extLst>
                <a:ext uri="{FF2B5EF4-FFF2-40B4-BE49-F238E27FC236}">
                  <a16:creationId xmlns:a16="http://schemas.microsoft.com/office/drawing/2014/main" id="{00000000-0008-0000-0900-00008D000000}"/>
                </a:ext>
              </a:extLst>
            </xdr:cNvPr>
            <xdr:cNvGrpSpPr/>
          </xdr:nvGrpSpPr>
          <xdr:grpSpPr>
            <a:xfrm>
              <a:off x="8648701" y="6438900"/>
              <a:ext cx="972000" cy="495300"/>
              <a:chOff x="13133632" y="3476625"/>
              <a:chExt cx="2705100" cy="495300"/>
            </a:xfrm>
            <a:grpFill/>
          </xdr:grpSpPr>
          <xdr:sp macro="" textlink="'Target Per Line'!$M$9">
            <xdr:nvSpPr>
              <xdr:cNvPr id="142" name="Rectangle 141">
                <a:extLst>
                  <a:ext uri="{FF2B5EF4-FFF2-40B4-BE49-F238E27FC236}">
                    <a16:creationId xmlns:a16="http://schemas.microsoft.com/office/drawing/2014/main" id="{00000000-0008-0000-0900-00008E000000}"/>
                  </a:ext>
                </a:extLst>
              </xdr:cNvPr>
              <xdr:cNvSpPr/>
            </xdr:nvSpPr>
            <xdr:spPr>
              <a:xfrm>
                <a:off x="13133632" y="3476625"/>
                <a:ext cx="2705100" cy="4953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1297EC3E-404D-46BB-B28D-5BC7021868F2}" type="TxLink">
                  <a:rPr lang="en-US" sz="1200" b="1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 algn="l"/>
                  <a:t>KURANG</a:t>
                </a:fld>
                <a:endParaRPr lang="id-ID" sz="1100"/>
              </a:p>
            </xdr:txBody>
          </xdr:sp>
          <xdr:sp macro="" textlink="'Target Per Line'!$M$11">
            <xdr:nvSpPr>
              <xdr:cNvPr id="143" name="Rectangle 142">
                <a:extLst>
                  <a:ext uri="{FF2B5EF4-FFF2-40B4-BE49-F238E27FC236}">
                    <a16:creationId xmlns:a16="http://schemas.microsoft.com/office/drawing/2014/main" id="{00000000-0008-0000-0900-00008F000000}"/>
                  </a:ext>
                </a:extLst>
              </xdr:cNvPr>
              <xdr:cNvSpPr/>
            </xdr:nvSpPr>
            <xdr:spPr>
              <a:xfrm>
                <a:off x="13133632" y="3609975"/>
                <a:ext cx="2705100" cy="36195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0" rIns="0" bIns="0" rtlCol="0" anchor="t"/>
              <a:lstStyle/>
              <a:p>
                <a:pPr algn="l"/>
                <a:fld id="{54AD23EA-5E6E-439C-917E-9A9F91DE844B}" type="TxLink">
                  <a:rPr lang="en-US" sz="1200" b="1" i="0" u="none" strike="noStrike">
                    <a:solidFill>
                      <a:srgbClr val="FF0000"/>
                    </a:solidFill>
                    <a:latin typeface="Calibri"/>
                    <a:cs typeface="Calibri"/>
                  </a:rPr>
                  <a:pPr algn="l"/>
                  <a:t>970,091 Pcs</a:t>
                </a:fld>
                <a:endParaRPr lang="id-ID" sz="1100"/>
              </a:p>
            </xdr:txBody>
          </xdr:sp>
        </xdr:grpSp>
      </xdr:grpSp>
    </xdr:grpSp>
    <xdr:clientData/>
  </xdr:twoCellAnchor>
  <xdr:twoCellAnchor>
    <xdr:from>
      <xdr:col>5</xdr:col>
      <xdr:colOff>400050</xdr:colOff>
      <xdr:row>35</xdr:row>
      <xdr:rowOff>152400</xdr:rowOff>
    </xdr:from>
    <xdr:to>
      <xdr:col>7</xdr:col>
      <xdr:colOff>152850</xdr:colOff>
      <xdr:row>38</xdr:row>
      <xdr:rowOff>77700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3450190" y="6894816"/>
          <a:ext cx="972857" cy="503221"/>
          <a:chOff x="9067800" y="4238625"/>
          <a:chExt cx="2705100" cy="496800"/>
        </a:xfrm>
        <a:noFill/>
      </xdr:grpSpPr>
      <xdr:sp macro="" textlink="'Target Per Line'!$I$24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9067800" y="4238625"/>
            <a:ext cx="2705100" cy="496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l"/>
            <a:fld id="{AEA5235C-5E4D-4BB6-AE03-AC39895F2BEE}" type="TxLink">
              <a:rPr lang="en-US" sz="1200" b="1" i="0" u="none" strike="noStrike">
                <a:solidFill>
                  <a:srgbClr val="70AD47"/>
                </a:solidFill>
                <a:latin typeface="Calibri"/>
                <a:cs typeface="Calibri"/>
              </a:rPr>
              <a:pPr algn="l"/>
              <a:t> </a:t>
            </a:fld>
            <a:endParaRPr lang="id-ID" sz="1100"/>
          </a:p>
        </xdr:txBody>
      </xdr:sp>
      <xdr:sp macro="" textlink="'Target Per Line'!$I$26">
        <xdr:nvSpPr>
          <xdr:cNvPr id="167" name="Rectangle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SpPr/>
        </xdr:nvSpPr>
        <xdr:spPr>
          <a:xfrm>
            <a:off x="9067800" y="4371825"/>
            <a:ext cx="2705100" cy="3636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l"/>
            <a:fld id="{32D2E0C3-CC84-4FC9-AAD4-695249DE34C1}" type="TxLink">
              <a:rPr lang="en-US" sz="1200" b="1" i="0" u="none" strike="noStrike">
                <a:solidFill>
                  <a:srgbClr val="70AD47"/>
                </a:solidFill>
                <a:latin typeface="Calibri"/>
                <a:cs typeface="Calibri"/>
              </a:rPr>
              <a:pPr algn="l"/>
              <a:t> </a:t>
            </a:fld>
            <a:endParaRPr lang="id-ID" sz="1100"/>
          </a:p>
        </xdr:txBody>
      </xdr:sp>
    </xdr:grpSp>
    <xdr:clientData/>
  </xdr:twoCellAnchor>
  <xdr:twoCellAnchor>
    <xdr:from>
      <xdr:col>5</xdr:col>
      <xdr:colOff>367818</xdr:colOff>
      <xdr:row>28</xdr:row>
      <xdr:rowOff>114711</xdr:rowOff>
    </xdr:from>
    <xdr:to>
      <xdr:col>21</xdr:col>
      <xdr:colOff>51280</xdr:colOff>
      <xdr:row>37</xdr:row>
      <xdr:rowOff>114711</xdr:rowOff>
    </xdr:to>
    <xdr:sp macro="" textlink="">
      <xdr:nvSpPr>
        <xdr:cNvPr id="248" name="Rounded Rectangle 247">
          <a:extLst>
            <a:ext uri="{FF2B5EF4-FFF2-40B4-BE49-F238E27FC236}">
              <a16:creationId xmlns:a16="http://schemas.microsoft.com/office/drawing/2014/main" id="{00000000-0008-0000-0900-0000F8000000}"/>
            </a:ext>
          </a:extLst>
        </xdr:cNvPr>
        <xdr:cNvSpPr/>
      </xdr:nvSpPr>
      <xdr:spPr>
        <a:xfrm>
          <a:off x="3415818" y="5448711"/>
          <a:ext cx="9437062" cy="1714500"/>
        </a:xfrm>
        <a:prstGeom prst="roundRect">
          <a:avLst>
            <a:gd name="adj" fmla="val 1997"/>
          </a:avLst>
        </a:prstGeom>
        <a:solidFill>
          <a:schemeClr val="bg1"/>
        </a:solidFill>
        <a:ln w="38100"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165772</xdr:colOff>
      <xdr:row>28</xdr:row>
      <xdr:rowOff>184748</xdr:rowOff>
    </xdr:from>
    <xdr:to>
      <xdr:col>20</xdr:col>
      <xdr:colOff>253327</xdr:colOff>
      <xdr:row>31</xdr:row>
      <xdr:rowOff>99023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SpPr/>
      </xdr:nvSpPr>
      <xdr:spPr>
        <a:xfrm>
          <a:off x="3796478" y="5518748"/>
          <a:ext cx="8559202" cy="4857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id-ID" sz="1800" b="1">
              <a:solidFill>
                <a:sysClr val="windowText" lastClr="000000"/>
              </a:solidFill>
            </a:rPr>
            <a:t>Capaian</a:t>
          </a:r>
          <a:r>
            <a:rPr lang="id-ID" sz="1800" b="1" baseline="0">
              <a:solidFill>
                <a:sysClr val="windowText" lastClr="000000"/>
              </a:solidFill>
            </a:rPr>
            <a:t> Target Tiap Line Bulan Ini Per Hari Ini</a:t>
          </a:r>
          <a:endParaRPr lang="id-ID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76199</xdr:colOff>
      <xdr:row>29</xdr:row>
      <xdr:rowOff>143286</xdr:rowOff>
    </xdr:from>
    <xdr:to>
      <xdr:col>8</xdr:col>
      <xdr:colOff>58004</xdr:colOff>
      <xdr:row>39</xdr:row>
      <xdr:rowOff>143286</xdr:rowOff>
    </xdr:to>
    <xdr:graphicFrame macro="">
      <xdr:nvGraphicFramePr>
        <xdr:cNvPr id="168" name="Chart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396040</xdr:colOff>
      <xdr:row>35</xdr:row>
      <xdr:rowOff>143286</xdr:rowOff>
    </xdr:from>
    <xdr:to>
      <xdr:col>7</xdr:col>
      <xdr:colOff>152313</xdr:colOff>
      <xdr:row>38</xdr:row>
      <xdr:rowOff>67086</xdr:rowOff>
    </xdr:to>
    <xdr:grpSp>
      <xdr:nvGrpSpPr>
        <xdr:cNvPr id="163" name="Group 162">
          <a:extLst>
            <a:ext uri="{FF2B5EF4-FFF2-40B4-BE49-F238E27FC236}">
              <a16:creationId xmlns:a16="http://schemas.microsoft.com/office/drawing/2014/main" id="{00000000-0008-0000-0900-0000A3000000}"/>
            </a:ext>
          </a:extLst>
        </xdr:cNvPr>
        <xdr:cNvGrpSpPr/>
      </xdr:nvGrpSpPr>
      <xdr:grpSpPr>
        <a:xfrm>
          <a:off x="3446180" y="6885702"/>
          <a:ext cx="976330" cy="501721"/>
          <a:chOff x="11039475" y="3762375"/>
          <a:chExt cx="2705100" cy="495300"/>
        </a:xfrm>
        <a:noFill/>
      </xdr:grpSpPr>
      <xdr:sp macro="" textlink="'Target Per Line'!$I$25">
        <xdr:nvSpPr>
          <xdr:cNvPr id="164" name="Rectangle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SpPr/>
        </xdr:nvSpPr>
        <xdr:spPr>
          <a:xfrm>
            <a:off x="11039475" y="3762375"/>
            <a:ext cx="2705100" cy="4953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l"/>
            <a:fld id="{A1309E51-64BD-47C6-BCC3-F7800EA176FE}" type="TxLink">
              <a:rPr lang="en-US" sz="1200" b="1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l"/>
              <a:t>KURANG</a:t>
            </a:fld>
            <a:endParaRPr lang="id-ID" sz="1100"/>
          </a:p>
        </xdr:txBody>
      </xdr:sp>
      <xdr:sp macro="" textlink="'Target Per Line'!$I$27">
        <xdr:nvSpPr>
          <xdr:cNvPr id="165" name="Rectangle 164">
            <a:extLst>
              <a:ext uri="{FF2B5EF4-FFF2-40B4-BE49-F238E27FC236}">
                <a16:creationId xmlns:a16="http://schemas.microsoft.com/office/drawing/2014/main" id="{00000000-0008-0000-0900-0000A5000000}"/>
              </a:ext>
            </a:extLst>
          </xdr:cNvPr>
          <xdr:cNvSpPr/>
        </xdr:nvSpPr>
        <xdr:spPr>
          <a:xfrm>
            <a:off x="11039475" y="3895725"/>
            <a:ext cx="2705100" cy="3619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l"/>
            <a:fld id="{068BEAF8-981A-434E-916D-4958E85FF6ED}" type="TxLink">
              <a:rPr lang="en-US" sz="1200" b="1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l"/>
              <a:t>448,425 Pcs</a:t>
            </a:fld>
            <a:endParaRPr lang="id-ID" sz="1100"/>
          </a:p>
        </xdr:txBody>
      </xdr:sp>
    </xdr:grpSp>
    <xdr:clientData/>
  </xdr:twoCellAnchor>
  <xdr:twoCellAnchor>
    <xdr:from>
      <xdr:col>7</xdr:col>
      <xdr:colOff>356137</xdr:colOff>
      <xdr:row>35</xdr:row>
      <xdr:rowOff>144786</xdr:rowOff>
    </xdr:from>
    <xdr:to>
      <xdr:col>9</xdr:col>
      <xdr:colOff>112411</xdr:colOff>
      <xdr:row>38</xdr:row>
      <xdr:rowOff>68586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4626334" y="6887202"/>
          <a:ext cx="976330" cy="501721"/>
          <a:chOff x="13133632" y="3068550"/>
          <a:chExt cx="2705100" cy="495300"/>
        </a:xfrm>
        <a:noFill/>
      </xdr:grpSpPr>
      <xdr:sp macro="" textlink="'Target Per Line'!$J$25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13133632" y="3068550"/>
            <a:ext cx="2705100" cy="4953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l"/>
            <a:fld id="{D15D8B14-2BD5-49DE-959A-67904D275AB7}" type="TxLink">
              <a:rPr lang="en-US" sz="1200" b="1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l"/>
              <a:t> </a:t>
            </a:fld>
            <a:endParaRPr lang="id-ID" sz="1100"/>
          </a:p>
        </xdr:txBody>
      </xdr:sp>
      <xdr:sp macro="" textlink="'Target Per Line'!$J$27">
        <xdr:nvSpPr>
          <xdr:cNvPr id="176" name="Rectangle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SpPr/>
        </xdr:nvSpPr>
        <xdr:spPr>
          <a:xfrm>
            <a:off x="13133632" y="3201900"/>
            <a:ext cx="2705100" cy="3619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l"/>
            <a:fld id="{78ADC6A7-11E7-47A2-A181-ACC530D88F67}" type="TxLink">
              <a:rPr lang="en-US" sz="1200" b="1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l"/>
              <a:t> </a:t>
            </a:fld>
            <a:endParaRPr lang="id-ID" sz="1100"/>
          </a:p>
        </xdr:txBody>
      </xdr:sp>
    </xdr:grpSp>
    <xdr:clientData/>
  </xdr:twoCellAnchor>
  <xdr:twoCellAnchor>
    <xdr:from>
      <xdr:col>9</xdr:col>
      <xdr:colOff>372871</xdr:colOff>
      <xdr:row>29</xdr:row>
      <xdr:rowOff>143286</xdr:rowOff>
    </xdr:from>
    <xdr:to>
      <xdr:col>12</xdr:col>
      <xdr:colOff>354677</xdr:colOff>
      <xdr:row>39</xdr:row>
      <xdr:rowOff>143286</xdr:rowOff>
    </xdr:to>
    <xdr:graphicFrame macro="">
      <xdr:nvGraphicFramePr>
        <xdr:cNvPr id="201" name="Chart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224535</xdr:colOff>
      <xdr:row>29</xdr:row>
      <xdr:rowOff>143286</xdr:rowOff>
    </xdr:from>
    <xdr:to>
      <xdr:col>10</xdr:col>
      <xdr:colOff>206341</xdr:colOff>
      <xdr:row>39</xdr:row>
      <xdr:rowOff>143286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id="{00000000-0008-0000-09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552827</xdr:colOff>
      <xdr:row>35</xdr:row>
      <xdr:rowOff>143286</xdr:rowOff>
    </xdr:from>
    <xdr:to>
      <xdr:col>9</xdr:col>
      <xdr:colOff>309101</xdr:colOff>
      <xdr:row>38</xdr:row>
      <xdr:rowOff>68586</xdr:rowOff>
    </xdr:to>
    <xdr:grpSp>
      <xdr:nvGrpSpPr>
        <xdr:cNvPr id="254" name="Group 253">
          <a:extLst>
            <a:ext uri="{FF2B5EF4-FFF2-40B4-BE49-F238E27FC236}">
              <a16:creationId xmlns:a16="http://schemas.microsoft.com/office/drawing/2014/main" id="{00000000-0008-0000-0900-0000FE000000}"/>
            </a:ext>
          </a:extLst>
        </xdr:cNvPr>
        <xdr:cNvGrpSpPr/>
      </xdr:nvGrpSpPr>
      <xdr:grpSpPr>
        <a:xfrm>
          <a:off x="4823024" y="6885702"/>
          <a:ext cx="976330" cy="503221"/>
          <a:chOff x="5804808" y="6819900"/>
          <a:chExt cx="972000" cy="496800"/>
        </a:xfrm>
        <a:noFill/>
      </xdr:grpSpPr>
      <xdr:grpSp>
        <xdr:nvGrpSpPr>
          <xdr:cNvPr id="184" name="Group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GrpSpPr/>
        </xdr:nvGrpSpPr>
        <xdr:grpSpPr>
          <a:xfrm>
            <a:off x="5804808" y="6819900"/>
            <a:ext cx="972000" cy="496800"/>
            <a:chOff x="9067800" y="4238625"/>
            <a:chExt cx="2705100" cy="496800"/>
          </a:xfrm>
          <a:grpFill/>
        </xdr:grpSpPr>
        <xdr:sp macro="" textlink="'Target Per Line'!$K$24">
          <xdr:nvSpPr>
            <xdr:cNvPr id="188" name="Rectangle 187">
              <a:extLst>
                <a:ext uri="{FF2B5EF4-FFF2-40B4-BE49-F238E27FC236}">
                  <a16:creationId xmlns:a16="http://schemas.microsoft.com/office/drawing/2014/main" id="{00000000-0008-0000-0900-0000BC000000}"/>
                </a:ext>
              </a:extLst>
            </xdr:cNvPr>
            <xdr:cNvSpPr/>
          </xdr:nvSpPr>
          <xdr:spPr>
            <a:xfrm>
              <a:off x="9067800" y="4238625"/>
              <a:ext cx="2705100" cy="49680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B7D847E6-B019-4A46-9ECE-4FB029E79603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l"/>
                <a:t> </a:t>
              </a:fld>
              <a:endParaRPr lang="id-ID" sz="1100"/>
            </a:p>
          </xdr:txBody>
        </xdr:sp>
        <xdr:sp macro="" textlink="'Target Per Line'!$K$26">
          <xdr:nvSpPr>
            <xdr:cNvPr id="189" name="Rectangle 188">
              <a:extLst>
                <a:ext uri="{FF2B5EF4-FFF2-40B4-BE49-F238E27FC236}">
                  <a16:creationId xmlns:a16="http://schemas.microsoft.com/office/drawing/2014/main" id="{00000000-0008-0000-0900-0000BD000000}"/>
                </a:ext>
              </a:extLst>
            </xdr:cNvPr>
            <xdr:cNvSpPr/>
          </xdr:nvSpPr>
          <xdr:spPr>
            <a:xfrm>
              <a:off x="9067800" y="4371825"/>
              <a:ext cx="2705100" cy="36360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68DC8783-5589-4981-A927-F0772DB57CE8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l"/>
                <a:t> </a:t>
              </a:fld>
              <a:endParaRPr lang="id-ID" sz="1100"/>
            </a:p>
          </xdr:txBody>
        </xdr:sp>
      </xdr:grpSp>
      <xdr:grpSp>
        <xdr:nvGrpSpPr>
          <xdr:cNvPr id="185" name="Group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GrpSpPr/>
        </xdr:nvGrpSpPr>
        <xdr:grpSpPr>
          <a:xfrm>
            <a:off x="5804808" y="6821400"/>
            <a:ext cx="972000" cy="495300"/>
            <a:chOff x="11039475" y="2801850"/>
            <a:chExt cx="2705100" cy="495300"/>
          </a:xfrm>
          <a:grpFill/>
        </xdr:grpSpPr>
        <xdr:sp macro="" textlink="'Target Per Line'!$K$25">
          <xdr:nvSpPr>
            <xdr:cNvPr id="186" name="Rectangle 185">
              <a:extLst>
                <a:ext uri="{FF2B5EF4-FFF2-40B4-BE49-F238E27FC236}">
                  <a16:creationId xmlns:a16="http://schemas.microsoft.com/office/drawing/2014/main" id="{00000000-0008-0000-0900-0000BA000000}"/>
                </a:ext>
              </a:extLst>
            </xdr:cNvPr>
            <xdr:cNvSpPr/>
          </xdr:nvSpPr>
          <xdr:spPr>
            <a:xfrm>
              <a:off x="11039475" y="2801850"/>
              <a:ext cx="2705100" cy="49530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356EB7BE-25E6-42BC-8432-81CD8F94961B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l"/>
                <a:t>KURANG</a:t>
              </a:fld>
              <a:endParaRPr lang="id-ID" sz="1100"/>
            </a:p>
          </xdr:txBody>
        </xdr:sp>
        <xdr:sp macro="" textlink="'Target Per Line'!$K$27">
          <xdr:nvSpPr>
            <xdr:cNvPr id="187" name="Rectangle 186">
              <a:extLst>
                <a:ext uri="{FF2B5EF4-FFF2-40B4-BE49-F238E27FC236}">
                  <a16:creationId xmlns:a16="http://schemas.microsoft.com/office/drawing/2014/main" id="{00000000-0008-0000-0900-0000BB000000}"/>
                </a:ext>
              </a:extLst>
            </xdr:cNvPr>
            <xdr:cNvSpPr/>
          </xdr:nvSpPr>
          <xdr:spPr>
            <a:xfrm>
              <a:off x="11039475" y="2935200"/>
              <a:ext cx="2705100" cy="36195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29F12706-2F7C-494F-B707-27D81BD45C8F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l"/>
                <a:t>3,701,250 Pcs</a:t>
              </a:fld>
              <a:endParaRPr lang="id-ID" sz="1100"/>
            </a:p>
          </xdr:txBody>
        </xdr:sp>
      </xdr:grpSp>
    </xdr:grpSp>
    <xdr:clientData/>
  </xdr:twoCellAnchor>
  <xdr:twoCellAnchor>
    <xdr:from>
      <xdr:col>10</xdr:col>
      <xdr:colOff>104498</xdr:colOff>
      <xdr:row>35</xdr:row>
      <xdr:rowOff>143286</xdr:rowOff>
    </xdr:from>
    <xdr:to>
      <xdr:col>11</xdr:col>
      <xdr:colOff>465890</xdr:colOff>
      <xdr:row>38</xdr:row>
      <xdr:rowOff>68586</xdr:rowOff>
    </xdr:to>
    <xdr:grpSp>
      <xdr:nvGrpSpPr>
        <xdr:cNvPr id="253" name="Group 252">
          <a:extLst>
            <a:ext uri="{FF2B5EF4-FFF2-40B4-BE49-F238E27FC236}">
              <a16:creationId xmlns:a16="http://schemas.microsoft.com/office/drawing/2014/main" id="{00000000-0008-0000-0900-0000FD000000}"/>
            </a:ext>
          </a:extLst>
        </xdr:cNvPr>
        <xdr:cNvGrpSpPr/>
      </xdr:nvGrpSpPr>
      <xdr:grpSpPr>
        <a:xfrm>
          <a:off x="6204779" y="6885702"/>
          <a:ext cx="971420" cy="503221"/>
          <a:chOff x="6983187" y="6819900"/>
          <a:chExt cx="972000" cy="496800"/>
        </a:xfrm>
        <a:noFill/>
      </xdr:grpSpPr>
      <xdr:grpSp>
        <xdr:nvGrpSpPr>
          <xdr:cNvPr id="195" name="Group 194">
            <a:extLst>
              <a:ext uri="{FF2B5EF4-FFF2-40B4-BE49-F238E27FC236}">
                <a16:creationId xmlns:a16="http://schemas.microsoft.com/office/drawing/2014/main" id="{00000000-0008-0000-0900-0000C3000000}"/>
              </a:ext>
            </a:extLst>
          </xdr:cNvPr>
          <xdr:cNvGrpSpPr/>
        </xdr:nvGrpSpPr>
        <xdr:grpSpPr>
          <a:xfrm>
            <a:off x="6983187" y="6819900"/>
            <a:ext cx="972000" cy="496800"/>
            <a:chOff x="9067800" y="4238625"/>
            <a:chExt cx="2705100" cy="496800"/>
          </a:xfrm>
          <a:grpFill/>
        </xdr:grpSpPr>
        <xdr:sp macro="" textlink="'Target Per Line'!$L$24">
          <xdr:nvSpPr>
            <xdr:cNvPr id="199" name="Rectangle 198">
              <a:extLst>
                <a:ext uri="{FF2B5EF4-FFF2-40B4-BE49-F238E27FC236}">
                  <a16:creationId xmlns:a16="http://schemas.microsoft.com/office/drawing/2014/main" id="{00000000-0008-0000-0900-0000C7000000}"/>
                </a:ext>
              </a:extLst>
            </xdr:cNvPr>
            <xdr:cNvSpPr/>
          </xdr:nvSpPr>
          <xdr:spPr>
            <a:xfrm>
              <a:off x="9067800" y="4238625"/>
              <a:ext cx="2705100" cy="49680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04D4AE09-8A87-4FA1-9DCE-5141370615C7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l"/>
                <a:t> </a:t>
              </a:fld>
              <a:endParaRPr lang="id-ID" sz="1100"/>
            </a:p>
          </xdr:txBody>
        </xdr:sp>
        <xdr:sp macro="" textlink="'Target Per Line'!$L$26">
          <xdr:nvSpPr>
            <xdr:cNvPr id="200" name="Rectangle 199">
              <a:extLst>
                <a:ext uri="{FF2B5EF4-FFF2-40B4-BE49-F238E27FC236}">
                  <a16:creationId xmlns:a16="http://schemas.microsoft.com/office/drawing/2014/main" id="{00000000-0008-0000-0900-0000C8000000}"/>
                </a:ext>
              </a:extLst>
            </xdr:cNvPr>
            <xdr:cNvSpPr/>
          </xdr:nvSpPr>
          <xdr:spPr>
            <a:xfrm>
              <a:off x="9067800" y="4371825"/>
              <a:ext cx="2705100" cy="36360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73EC20F3-3314-40FB-ACA0-8A8BC7FCD4B4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l"/>
                <a:t> </a:t>
              </a:fld>
              <a:endParaRPr lang="id-ID" sz="1100"/>
            </a:p>
          </xdr:txBody>
        </xdr:sp>
      </xdr:grpSp>
      <xdr:grpSp>
        <xdr:nvGrpSpPr>
          <xdr:cNvPr id="196" name="Group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GrpSpPr/>
        </xdr:nvGrpSpPr>
        <xdr:grpSpPr>
          <a:xfrm>
            <a:off x="6983187" y="6821400"/>
            <a:ext cx="972000" cy="495300"/>
            <a:chOff x="13133632" y="2954250"/>
            <a:chExt cx="2705100" cy="495300"/>
          </a:xfrm>
          <a:grpFill/>
        </xdr:grpSpPr>
        <xdr:sp macro="" textlink="'Target Per Line'!$L$25">
          <xdr:nvSpPr>
            <xdr:cNvPr id="197" name="Rectangle 196">
              <a:extLst>
                <a:ext uri="{FF2B5EF4-FFF2-40B4-BE49-F238E27FC236}">
                  <a16:creationId xmlns:a16="http://schemas.microsoft.com/office/drawing/2014/main" id="{00000000-0008-0000-0900-0000C5000000}"/>
                </a:ext>
              </a:extLst>
            </xdr:cNvPr>
            <xdr:cNvSpPr/>
          </xdr:nvSpPr>
          <xdr:spPr>
            <a:xfrm>
              <a:off x="13133632" y="2954250"/>
              <a:ext cx="2705100" cy="49530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1DE79314-2D1B-4085-865C-84F503099B4A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l"/>
                <a:t>KURANG</a:t>
              </a:fld>
              <a:endParaRPr lang="id-ID" sz="1100"/>
            </a:p>
          </xdr:txBody>
        </xdr:sp>
        <xdr:sp macro="" textlink="'Target Per Line'!$L$27">
          <xdr:nvSpPr>
            <xdr:cNvPr id="198" name="Rectangle 197">
              <a:extLst>
                <a:ext uri="{FF2B5EF4-FFF2-40B4-BE49-F238E27FC236}">
                  <a16:creationId xmlns:a16="http://schemas.microsoft.com/office/drawing/2014/main" id="{00000000-0008-0000-0900-0000C6000000}"/>
                </a:ext>
              </a:extLst>
            </xdr:cNvPr>
            <xdr:cNvSpPr/>
          </xdr:nvSpPr>
          <xdr:spPr>
            <a:xfrm>
              <a:off x="13133632" y="3087600"/>
              <a:ext cx="2705100" cy="36195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97BFA417-3092-49CE-B4C6-4F6C9A94A873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l"/>
                <a:t>492,176 Pcs</a:t>
              </a:fld>
              <a:endParaRPr lang="id-ID" sz="1100"/>
            </a:p>
          </xdr:txBody>
        </xdr:sp>
      </xdr:grpSp>
    </xdr:grpSp>
    <xdr:clientData/>
  </xdr:twoCellAnchor>
  <xdr:twoCellAnchor>
    <xdr:from>
      <xdr:col>11</xdr:col>
      <xdr:colOff>521208</xdr:colOff>
      <xdr:row>29</xdr:row>
      <xdr:rowOff>143286</xdr:rowOff>
    </xdr:from>
    <xdr:to>
      <xdr:col>14</xdr:col>
      <xdr:colOff>503013</xdr:colOff>
      <xdr:row>39</xdr:row>
      <xdr:rowOff>143286</xdr:rowOff>
    </xdr:to>
    <xdr:graphicFrame macro="">
      <xdr:nvGraphicFramePr>
        <xdr:cNvPr id="212" name="Chart 211">
          <a:extLst>
            <a:ext uri="{FF2B5EF4-FFF2-40B4-BE49-F238E27FC236}">
              <a16:creationId xmlns:a16="http://schemas.microsoft.com/office/drawing/2014/main" id="{00000000-0008-0000-0900-0000D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261286</xdr:colOff>
      <xdr:row>35</xdr:row>
      <xdr:rowOff>143286</xdr:rowOff>
    </xdr:from>
    <xdr:to>
      <xdr:col>14</xdr:col>
      <xdr:colOff>14288</xdr:colOff>
      <xdr:row>38</xdr:row>
      <xdr:rowOff>68586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7581623" y="6885702"/>
          <a:ext cx="973058" cy="503221"/>
          <a:chOff x="8161566" y="6819900"/>
          <a:chExt cx="972000" cy="496800"/>
        </a:xfrm>
      </xdr:grpSpPr>
      <xdr:grpSp>
        <xdr:nvGrpSpPr>
          <xdr:cNvPr id="206" name="Group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GrpSpPr/>
        </xdr:nvGrpSpPr>
        <xdr:grpSpPr>
          <a:xfrm>
            <a:off x="8161566" y="6819900"/>
            <a:ext cx="972000" cy="496800"/>
            <a:chOff x="9067800" y="4238625"/>
            <a:chExt cx="2705100" cy="496800"/>
          </a:xfrm>
          <a:solidFill>
            <a:schemeClr val="accent2"/>
          </a:solidFill>
        </xdr:grpSpPr>
        <xdr:sp macro="" textlink="'Target Per Line'!$M$24">
          <xdr:nvSpPr>
            <xdr:cNvPr id="210" name="Rectangle 209">
              <a:extLst>
                <a:ext uri="{FF2B5EF4-FFF2-40B4-BE49-F238E27FC236}">
                  <a16:creationId xmlns:a16="http://schemas.microsoft.com/office/drawing/2014/main" id="{00000000-0008-0000-0900-0000D2000000}"/>
                </a:ext>
              </a:extLst>
            </xdr:cNvPr>
            <xdr:cNvSpPr/>
          </xdr:nvSpPr>
          <xdr:spPr>
            <a:xfrm>
              <a:off x="9067800" y="4238625"/>
              <a:ext cx="2705100" cy="4968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8F8CB701-0AAF-4345-83E4-E5A900059E92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l"/>
                <a:t> </a:t>
              </a:fld>
              <a:endParaRPr lang="id-ID" sz="1100"/>
            </a:p>
          </xdr:txBody>
        </xdr:sp>
        <xdr:sp macro="" textlink="'Target Per Line'!$M$26">
          <xdr:nvSpPr>
            <xdr:cNvPr id="211" name="Rectangle 210">
              <a:extLst>
                <a:ext uri="{FF2B5EF4-FFF2-40B4-BE49-F238E27FC236}">
                  <a16:creationId xmlns:a16="http://schemas.microsoft.com/office/drawing/2014/main" id="{00000000-0008-0000-0900-0000D3000000}"/>
                </a:ext>
              </a:extLst>
            </xdr:cNvPr>
            <xdr:cNvSpPr/>
          </xdr:nvSpPr>
          <xdr:spPr>
            <a:xfrm>
              <a:off x="9067800" y="4371825"/>
              <a:ext cx="2705100" cy="3636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C123BBAC-3259-490A-ACE0-547AFAE5D81A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l"/>
                <a:t> </a:t>
              </a:fld>
              <a:endParaRPr lang="id-ID" sz="1100"/>
            </a:p>
          </xdr:txBody>
        </xdr:sp>
      </xdr:grpSp>
      <xdr:grpSp>
        <xdr:nvGrpSpPr>
          <xdr:cNvPr id="207" name="Group 206">
            <a:extLst>
              <a:ext uri="{FF2B5EF4-FFF2-40B4-BE49-F238E27FC236}">
                <a16:creationId xmlns:a16="http://schemas.microsoft.com/office/drawing/2014/main" id="{00000000-0008-0000-0900-0000CF000000}"/>
              </a:ext>
            </a:extLst>
          </xdr:cNvPr>
          <xdr:cNvGrpSpPr/>
        </xdr:nvGrpSpPr>
        <xdr:grpSpPr>
          <a:xfrm>
            <a:off x="8161566" y="6821400"/>
            <a:ext cx="972000" cy="495300"/>
            <a:chOff x="11039475" y="2801850"/>
            <a:chExt cx="2705100" cy="495300"/>
          </a:xfrm>
          <a:solidFill>
            <a:schemeClr val="accent2"/>
          </a:solidFill>
        </xdr:grpSpPr>
        <xdr:sp macro="" textlink="'Target Per Line'!$M$25">
          <xdr:nvSpPr>
            <xdr:cNvPr id="208" name="Rectangle 207">
              <a:extLst>
                <a:ext uri="{FF2B5EF4-FFF2-40B4-BE49-F238E27FC236}">
                  <a16:creationId xmlns:a16="http://schemas.microsoft.com/office/drawing/2014/main" id="{00000000-0008-0000-0900-0000D0000000}"/>
                </a:ext>
              </a:extLst>
            </xdr:cNvPr>
            <xdr:cNvSpPr/>
          </xdr:nvSpPr>
          <xdr:spPr>
            <a:xfrm>
              <a:off x="11039475" y="2801850"/>
              <a:ext cx="2705100" cy="4953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C0FB9E67-BA79-4300-A51E-06B0096E0B62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l"/>
                <a:t>KURANG</a:t>
              </a:fld>
              <a:endParaRPr lang="id-ID" sz="1100"/>
            </a:p>
          </xdr:txBody>
        </xdr:sp>
        <xdr:sp macro="" textlink="'Target Per Line'!$M$27">
          <xdr:nvSpPr>
            <xdr:cNvPr id="209" name="Rectangle 208">
              <a:extLst>
                <a:ext uri="{FF2B5EF4-FFF2-40B4-BE49-F238E27FC236}">
                  <a16:creationId xmlns:a16="http://schemas.microsoft.com/office/drawing/2014/main" id="{00000000-0008-0000-0900-0000D1000000}"/>
                </a:ext>
              </a:extLst>
            </xdr:cNvPr>
            <xdr:cNvSpPr/>
          </xdr:nvSpPr>
          <xdr:spPr>
            <a:xfrm>
              <a:off x="11039475" y="2935200"/>
              <a:ext cx="2705100" cy="3619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4990E82A-FEB1-432E-80D8-B169F7A58093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l"/>
                <a:t>112,900 Pcs</a:t>
              </a:fld>
              <a:endParaRPr lang="id-ID" sz="1100"/>
            </a:p>
          </xdr:txBody>
        </xdr:sp>
      </xdr:grpSp>
    </xdr:grpSp>
    <xdr:clientData/>
  </xdr:twoCellAnchor>
  <xdr:twoCellAnchor>
    <xdr:from>
      <xdr:col>14</xdr:col>
      <xdr:colOff>64425</xdr:colOff>
      <xdr:row>29</xdr:row>
      <xdr:rowOff>143286</xdr:rowOff>
    </xdr:from>
    <xdr:to>
      <xdr:col>17</xdr:col>
      <xdr:colOff>46230</xdr:colOff>
      <xdr:row>39</xdr:row>
      <xdr:rowOff>143286</xdr:rowOff>
    </xdr:to>
    <xdr:graphicFrame macro="">
      <xdr:nvGraphicFramePr>
        <xdr:cNvPr id="223" name="Chart 222">
          <a:extLst>
            <a:ext uri="{FF2B5EF4-FFF2-40B4-BE49-F238E27FC236}">
              <a16:creationId xmlns:a16="http://schemas.microsoft.com/office/drawing/2014/main" id="{00000000-0008-0000-0900-0000D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414802</xdr:colOff>
      <xdr:row>35</xdr:row>
      <xdr:rowOff>143286</xdr:rowOff>
    </xdr:from>
    <xdr:to>
      <xdr:col>16</xdr:col>
      <xdr:colOff>167804</xdr:colOff>
      <xdr:row>38</xdr:row>
      <xdr:rowOff>68586</xdr:rowOff>
    </xdr:to>
    <xdr:grpSp>
      <xdr:nvGrpSpPr>
        <xdr:cNvPr id="251" name="Group 250">
          <a:extLst>
            <a:ext uri="{FF2B5EF4-FFF2-40B4-BE49-F238E27FC236}">
              <a16:creationId xmlns:a16="http://schemas.microsoft.com/office/drawing/2014/main" id="{00000000-0008-0000-0900-0000FB000000}"/>
            </a:ext>
          </a:extLst>
        </xdr:cNvPr>
        <xdr:cNvGrpSpPr/>
      </xdr:nvGrpSpPr>
      <xdr:grpSpPr>
        <a:xfrm>
          <a:off x="8955195" y="6885702"/>
          <a:ext cx="973058" cy="503221"/>
          <a:chOff x="9339945" y="6819900"/>
          <a:chExt cx="972000" cy="496800"/>
        </a:xfrm>
      </xdr:grpSpPr>
      <xdr:grpSp>
        <xdr:nvGrpSpPr>
          <xdr:cNvPr id="217" name="Group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GrpSpPr/>
        </xdr:nvGrpSpPr>
        <xdr:grpSpPr>
          <a:xfrm>
            <a:off x="9339945" y="6819900"/>
            <a:ext cx="972000" cy="496800"/>
            <a:chOff x="9067800" y="4238625"/>
            <a:chExt cx="2705100" cy="496800"/>
          </a:xfrm>
          <a:solidFill>
            <a:schemeClr val="accent2"/>
          </a:solidFill>
        </xdr:grpSpPr>
        <xdr:sp macro="" textlink="'Target Per Line'!$N$24">
          <xdr:nvSpPr>
            <xdr:cNvPr id="221" name="Rectangle 220">
              <a:extLst>
                <a:ext uri="{FF2B5EF4-FFF2-40B4-BE49-F238E27FC236}">
                  <a16:creationId xmlns:a16="http://schemas.microsoft.com/office/drawing/2014/main" id="{00000000-0008-0000-0900-0000DD000000}"/>
                </a:ext>
              </a:extLst>
            </xdr:cNvPr>
            <xdr:cNvSpPr/>
          </xdr:nvSpPr>
          <xdr:spPr>
            <a:xfrm>
              <a:off x="9067800" y="4238625"/>
              <a:ext cx="2705100" cy="4968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16A22461-6352-423E-90E7-01FA61E32564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l"/>
                <a:t> </a:t>
              </a:fld>
              <a:endParaRPr lang="id-ID" sz="1100"/>
            </a:p>
          </xdr:txBody>
        </xdr:sp>
        <xdr:sp macro="" textlink="'Target Per Line'!$N$26">
          <xdr:nvSpPr>
            <xdr:cNvPr id="222" name="Rectangle 221">
              <a:extLst>
                <a:ext uri="{FF2B5EF4-FFF2-40B4-BE49-F238E27FC236}">
                  <a16:creationId xmlns:a16="http://schemas.microsoft.com/office/drawing/2014/main" id="{00000000-0008-0000-0900-0000DE000000}"/>
                </a:ext>
              </a:extLst>
            </xdr:cNvPr>
            <xdr:cNvSpPr/>
          </xdr:nvSpPr>
          <xdr:spPr>
            <a:xfrm>
              <a:off x="9067800" y="4371825"/>
              <a:ext cx="2705100" cy="3636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F87C5D22-2805-4C8B-B816-A2358C42D7F8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l"/>
                <a:t> </a:t>
              </a:fld>
              <a:endParaRPr lang="id-ID" sz="1100"/>
            </a:p>
          </xdr:txBody>
        </xdr:sp>
      </xdr:grpSp>
      <xdr:grpSp>
        <xdr:nvGrpSpPr>
          <xdr:cNvPr id="218" name="Group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GrpSpPr/>
        </xdr:nvGrpSpPr>
        <xdr:grpSpPr>
          <a:xfrm>
            <a:off x="9339945" y="6821400"/>
            <a:ext cx="972000" cy="495300"/>
            <a:chOff x="13133632" y="2954250"/>
            <a:chExt cx="2705100" cy="495300"/>
          </a:xfrm>
          <a:solidFill>
            <a:schemeClr val="accent2"/>
          </a:solidFill>
        </xdr:grpSpPr>
        <xdr:sp macro="" textlink="'Target Per Line'!$N$25">
          <xdr:nvSpPr>
            <xdr:cNvPr id="219" name="Rectangle 218">
              <a:extLst>
                <a:ext uri="{FF2B5EF4-FFF2-40B4-BE49-F238E27FC236}">
                  <a16:creationId xmlns:a16="http://schemas.microsoft.com/office/drawing/2014/main" id="{00000000-0008-0000-0900-0000DB000000}"/>
                </a:ext>
              </a:extLst>
            </xdr:cNvPr>
            <xdr:cNvSpPr/>
          </xdr:nvSpPr>
          <xdr:spPr>
            <a:xfrm>
              <a:off x="13133632" y="2954250"/>
              <a:ext cx="2705100" cy="4953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7A4E0797-1A02-4F38-8902-58919376CF33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l"/>
                <a:t>KURANG</a:t>
              </a:fld>
              <a:endParaRPr lang="id-ID" sz="1100"/>
            </a:p>
          </xdr:txBody>
        </xdr:sp>
        <xdr:sp macro="" textlink="'Target Per Line'!$N$27">
          <xdr:nvSpPr>
            <xdr:cNvPr id="220" name="Rectangle 219">
              <a:extLst>
                <a:ext uri="{FF2B5EF4-FFF2-40B4-BE49-F238E27FC236}">
                  <a16:creationId xmlns:a16="http://schemas.microsoft.com/office/drawing/2014/main" id="{00000000-0008-0000-0900-0000DC000000}"/>
                </a:ext>
              </a:extLst>
            </xdr:cNvPr>
            <xdr:cNvSpPr/>
          </xdr:nvSpPr>
          <xdr:spPr>
            <a:xfrm>
              <a:off x="13133632" y="3087600"/>
              <a:ext cx="2705100" cy="3619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23D03826-4267-4784-9CFA-7E1B682A2E9E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l"/>
                <a:t>202,218 Pcs</a:t>
              </a:fld>
              <a:endParaRPr lang="id-ID" sz="1100"/>
            </a:p>
          </xdr:txBody>
        </xdr:sp>
      </xdr:grpSp>
    </xdr:grpSp>
    <xdr:clientData/>
  </xdr:twoCellAnchor>
  <xdr:twoCellAnchor>
    <xdr:from>
      <xdr:col>16</xdr:col>
      <xdr:colOff>212762</xdr:colOff>
      <xdr:row>29</xdr:row>
      <xdr:rowOff>143286</xdr:rowOff>
    </xdr:from>
    <xdr:to>
      <xdr:col>19</xdr:col>
      <xdr:colOff>194567</xdr:colOff>
      <xdr:row>39</xdr:row>
      <xdr:rowOff>143286</xdr:rowOff>
    </xdr:to>
    <xdr:graphicFrame macro="">
      <xdr:nvGraphicFramePr>
        <xdr:cNvPr id="234" name="Chart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16</xdr:col>
      <xdr:colOff>568318</xdr:colOff>
      <xdr:row>35</xdr:row>
      <xdr:rowOff>143286</xdr:rowOff>
    </xdr:from>
    <xdr:to>
      <xdr:col>18</xdr:col>
      <xdr:colOff>321319</xdr:colOff>
      <xdr:row>38</xdr:row>
      <xdr:rowOff>68586</xdr:rowOff>
    </xdr:to>
    <xdr:grpSp>
      <xdr:nvGrpSpPr>
        <xdr:cNvPr id="250" name="Group 249">
          <a:extLst>
            <a:ext uri="{FF2B5EF4-FFF2-40B4-BE49-F238E27FC236}">
              <a16:creationId xmlns:a16="http://schemas.microsoft.com/office/drawing/2014/main" id="{00000000-0008-0000-0900-0000FA000000}"/>
            </a:ext>
          </a:extLst>
        </xdr:cNvPr>
        <xdr:cNvGrpSpPr/>
      </xdr:nvGrpSpPr>
      <xdr:grpSpPr>
        <a:xfrm>
          <a:off x="10328767" y="6885702"/>
          <a:ext cx="973058" cy="503221"/>
          <a:chOff x="10518324" y="6819900"/>
          <a:chExt cx="972000" cy="496800"/>
        </a:xfrm>
      </xdr:grpSpPr>
      <xdr:grpSp>
        <xdr:nvGrpSpPr>
          <xdr:cNvPr id="228" name="Group 227">
            <a:extLst>
              <a:ext uri="{FF2B5EF4-FFF2-40B4-BE49-F238E27FC236}">
                <a16:creationId xmlns:a16="http://schemas.microsoft.com/office/drawing/2014/main" id="{00000000-0008-0000-0900-0000E4000000}"/>
              </a:ext>
            </a:extLst>
          </xdr:cNvPr>
          <xdr:cNvGrpSpPr/>
        </xdr:nvGrpSpPr>
        <xdr:grpSpPr>
          <a:xfrm>
            <a:off x="10518324" y="6819900"/>
            <a:ext cx="972000" cy="496800"/>
            <a:chOff x="9067800" y="4238625"/>
            <a:chExt cx="2705100" cy="496800"/>
          </a:xfrm>
          <a:solidFill>
            <a:schemeClr val="accent2"/>
          </a:solidFill>
        </xdr:grpSpPr>
        <xdr:sp macro="" textlink="'Target Per Line'!$O$24">
          <xdr:nvSpPr>
            <xdr:cNvPr id="232" name="Rectangle 231">
              <a:extLst>
                <a:ext uri="{FF2B5EF4-FFF2-40B4-BE49-F238E27FC236}">
                  <a16:creationId xmlns:a16="http://schemas.microsoft.com/office/drawing/2014/main" id="{00000000-0008-0000-0900-0000E8000000}"/>
                </a:ext>
              </a:extLst>
            </xdr:cNvPr>
            <xdr:cNvSpPr/>
          </xdr:nvSpPr>
          <xdr:spPr>
            <a:xfrm>
              <a:off x="9067800" y="4238625"/>
              <a:ext cx="2705100" cy="4968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9F300B92-1DE4-40CA-89AB-D1807ACC1825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l"/>
                <a:t> </a:t>
              </a:fld>
              <a:endParaRPr lang="id-ID" sz="1100"/>
            </a:p>
          </xdr:txBody>
        </xdr:sp>
        <xdr:sp macro="" textlink="'Target Per Line'!$O$26">
          <xdr:nvSpPr>
            <xdr:cNvPr id="233" name="Rectangle 232">
              <a:extLst>
                <a:ext uri="{FF2B5EF4-FFF2-40B4-BE49-F238E27FC236}">
                  <a16:creationId xmlns:a16="http://schemas.microsoft.com/office/drawing/2014/main" id="{00000000-0008-0000-0900-0000E9000000}"/>
                </a:ext>
              </a:extLst>
            </xdr:cNvPr>
            <xdr:cNvSpPr/>
          </xdr:nvSpPr>
          <xdr:spPr>
            <a:xfrm>
              <a:off x="9067800" y="4371825"/>
              <a:ext cx="2705100" cy="3636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E62BA5FC-B3B2-45C3-9680-72EEBECBC297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l"/>
                <a:t> </a:t>
              </a:fld>
              <a:endParaRPr lang="id-ID" sz="1100"/>
            </a:p>
          </xdr:txBody>
        </xdr:sp>
      </xdr:grpSp>
      <xdr:grpSp>
        <xdr:nvGrpSpPr>
          <xdr:cNvPr id="229" name="Group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GrpSpPr/>
        </xdr:nvGrpSpPr>
        <xdr:grpSpPr>
          <a:xfrm>
            <a:off x="10518324" y="6821400"/>
            <a:ext cx="972000" cy="495300"/>
            <a:chOff x="11039475" y="2801850"/>
            <a:chExt cx="2705100" cy="495300"/>
          </a:xfrm>
          <a:solidFill>
            <a:schemeClr val="accent2"/>
          </a:solidFill>
        </xdr:grpSpPr>
        <xdr:sp macro="" textlink="'Target Per Line'!$O$25">
          <xdr:nvSpPr>
            <xdr:cNvPr id="230" name="Rectangle 229">
              <a:extLst>
                <a:ext uri="{FF2B5EF4-FFF2-40B4-BE49-F238E27FC236}">
                  <a16:creationId xmlns:a16="http://schemas.microsoft.com/office/drawing/2014/main" id="{00000000-0008-0000-0900-0000E6000000}"/>
                </a:ext>
              </a:extLst>
            </xdr:cNvPr>
            <xdr:cNvSpPr/>
          </xdr:nvSpPr>
          <xdr:spPr>
            <a:xfrm>
              <a:off x="11039475" y="2801850"/>
              <a:ext cx="2705100" cy="4953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03B77F35-D844-484F-957C-547E5CA5E7A9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l"/>
                <a:t>KURANG</a:t>
              </a:fld>
              <a:endParaRPr lang="id-ID" sz="1100"/>
            </a:p>
          </xdr:txBody>
        </xdr:sp>
        <xdr:sp macro="" textlink="'Target Per Line'!$O$27">
          <xdr:nvSpPr>
            <xdr:cNvPr id="231" name="Rectangle 230">
              <a:extLst>
                <a:ext uri="{FF2B5EF4-FFF2-40B4-BE49-F238E27FC236}">
                  <a16:creationId xmlns:a16="http://schemas.microsoft.com/office/drawing/2014/main" id="{00000000-0008-0000-0900-0000E7000000}"/>
                </a:ext>
              </a:extLst>
            </xdr:cNvPr>
            <xdr:cNvSpPr/>
          </xdr:nvSpPr>
          <xdr:spPr>
            <a:xfrm>
              <a:off x="11039475" y="2935200"/>
              <a:ext cx="2705100" cy="3619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9E63EEEF-D858-4433-9D37-4AD67428D4D7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l"/>
                <a:t>390,153 Pcs</a:t>
              </a:fld>
              <a:endParaRPr lang="id-ID" sz="1100"/>
            </a:p>
          </xdr:txBody>
        </xdr:sp>
      </xdr:grpSp>
    </xdr:grpSp>
    <xdr:clientData/>
  </xdr:twoCellAnchor>
  <xdr:twoCellAnchor>
    <xdr:from>
      <xdr:col>18</xdr:col>
      <xdr:colOff>361094</xdr:colOff>
      <xdr:row>29</xdr:row>
      <xdr:rowOff>143286</xdr:rowOff>
    </xdr:from>
    <xdr:to>
      <xdr:col>21</xdr:col>
      <xdr:colOff>342899</xdr:colOff>
      <xdr:row>39</xdr:row>
      <xdr:rowOff>143286</xdr:rowOff>
    </xdr:to>
    <xdr:graphicFrame macro="">
      <xdr:nvGraphicFramePr>
        <xdr:cNvPr id="245" name="Chart 244">
          <a:extLst>
            <a:ext uri="{FF2B5EF4-FFF2-40B4-BE49-F238E27FC236}">
              <a16:creationId xmlns:a16="http://schemas.microsoft.com/office/drawing/2014/main" id="{00000000-0008-0000-0900-0000F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116719</xdr:colOff>
      <xdr:row>35</xdr:row>
      <xdr:rowOff>143286</xdr:rowOff>
    </xdr:from>
    <xdr:to>
      <xdr:col>20</xdr:col>
      <xdr:colOff>474838</xdr:colOff>
      <xdr:row>38</xdr:row>
      <xdr:rowOff>68586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11707253" y="6885702"/>
          <a:ext cx="968147" cy="503221"/>
          <a:chOff x="11696701" y="6819900"/>
          <a:chExt cx="972000" cy="496800"/>
        </a:xfrm>
      </xdr:grpSpPr>
      <xdr:grpSp>
        <xdr:nvGrpSpPr>
          <xdr:cNvPr id="239" name="Group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GrpSpPr/>
        </xdr:nvGrpSpPr>
        <xdr:grpSpPr>
          <a:xfrm>
            <a:off x="11696701" y="6819900"/>
            <a:ext cx="972000" cy="496800"/>
            <a:chOff x="9067800" y="4238625"/>
            <a:chExt cx="2705100" cy="496800"/>
          </a:xfrm>
          <a:solidFill>
            <a:schemeClr val="accent2"/>
          </a:solidFill>
        </xdr:grpSpPr>
        <xdr:sp macro="" textlink="'Target Per Line'!$P$24">
          <xdr:nvSpPr>
            <xdr:cNvPr id="243" name="Rectangle 242">
              <a:extLst>
                <a:ext uri="{FF2B5EF4-FFF2-40B4-BE49-F238E27FC236}">
                  <a16:creationId xmlns:a16="http://schemas.microsoft.com/office/drawing/2014/main" id="{00000000-0008-0000-0900-0000F3000000}"/>
                </a:ext>
              </a:extLst>
            </xdr:cNvPr>
            <xdr:cNvSpPr/>
          </xdr:nvSpPr>
          <xdr:spPr>
            <a:xfrm>
              <a:off x="9067800" y="4238625"/>
              <a:ext cx="2705100" cy="4968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7D6230AE-42DB-473B-B65F-502C62DC575D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l"/>
                <a:t> </a:t>
              </a:fld>
              <a:endParaRPr lang="id-ID" sz="1100"/>
            </a:p>
          </xdr:txBody>
        </xdr:sp>
        <xdr:sp macro="" textlink="'Target Per Line'!$P$26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900-0000F4000000}"/>
                </a:ext>
              </a:extLst>
            </xdr:cNvPr>
            <xdr:cNvSpPr/>
          </xdr:nvSpPr>
          <xdr:spPr>
            <a:xfrm>
              <a:off x="9067800" y="4371825"/>
              <a:ext cx="2705100" cy="3636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8476840E-561D-4BD0-BB83-DA3DD180FF62}" type="TxLink">
                <a:rPr lang="en-US" sz="1200" b="1" i="0" u="none" strike="noStrike">
                  <a:solidFill>
                    <a:srgbClr val="70AD47"/>
                  </a:solidFill>
                  <a:latin typeface="Calibri"/>
                  <a:cs typeface="Calibri"/>
                </a:rPr>
                <a:pPr algn="l"/>
                <a:t> </a:t>
              </a:fld>
              <a:endParaRPr lang="id-ID" sz="1100"/>
            </a:p>
          </xdr:txBody>
        </xdr:sp>
      </xdr:grpSp>
      <xdr:grpSp>
        <xdr:nvGrpSpPr>
          <xdr:cNvPr id="240" name="Group 239">
            <a:extLst>
              <a:ext uri="{FF2B5EF4-FFF2-40B4-BE49-F238E27FC236}">
                <a16:creationId xmlns:a16="http://schemas.microsoft.com/office/drawing/2014/main" id="{00000000-0008-0000-0900-0000F0000000}"/>
              </a:ext>
            </a:extLst>
          </xdr:cNvPr>
          <xdr:cNvGrpSpPr/>
        </xdr:nvGrpSpPr>
        <xdr:grpSpPr>
          <a:xfrm>
            <a:off x="11696701" y="6821400"/>
            <a:ext cx="972000" cy="495300"/>
            <a:chOff x="13133632" y="2954250"/>
            <a:chExt cx="2705100" cy="495300"/>
          </a:xfrm>
          <a:solidFill>
            <a:schemeClr val="accent2"/>
          </a:solidFill>
        </xdr:grpSpPr>
        <xdr:sp macro="" textlink="'Target Per Line'!$P$25">
          <xdr:nvSpPr>
            <xdr:cNvPr id="241" name="Rectangle 240">
              <a:extLst>
                <a:ext uri="{FF2B5EF4-FFF2-40B4-BE49-F238E27FC236}">
                  <a16:creationId xmlns:a16="http://schemas.microsoft.com/office/drawing/2014/main" id="{00000000-0008-0000-0900-0000F1000000}"/>
                </a:ext>
              </a:extLst>
            </xdr:cNvPr>
            <xdr:cNvSpPr/>
          </xdr:nvSpPr>
          <xdr:spPr>
            <a:xfrm>
              <a:off x="13133632" y="2954250"/>
              <a:ext cx="2705100" cy="4953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873276D0-2189-45AD-AA57-31C1A80672DB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l"/>
                <a:t>KURANG</a:t>
              </a:fld>
              <a:endParaRPr lang="id-ID" sz="1100"/>
            </a:p>
          </xdr:txBody>
        </xdr:sp>
        <xdr:sp macro="" textlink="'Target Per Line'!$P$27">
          <xdr:nvSpPr>
            <xdr:cNvPr id="242" name="Rectangle 241">
              <a:extLst>
                <a:ext uri="{FF2B5EF4-FFF2-40B4-BE49-F238E27FC236}">
                  <a16:creationId xmlns:a16="http://schemas.microsoft.com/office/drawing/2014/main" id="{00000000-0008-0000-0900-0000F2000000}"/>
                </a:ext>
              </a:extLst>
            </xdr:cNvPr>
            <xdr:cNvSpPr/>
          </xdr:nvSpPr>
          <xdr:spPr>
            <a:xfrm>
              <a:off x="13133632" y="3087600"/>
              <a:ext cx="2705100" cy="3619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0" rIns="0" bIns="0" rtlCol="0" anchor="t"/>
            <a:lstStyle/>
            <a:p>
              <a:pPr algn="l"/>
              <a:fld id="{8337C493-B71F-4B0A-8677-6F3433FAE030}" type="TxLink">
                <a:rPr lang="en-US" sz="12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l"/>
                <a:t>238,335 Pcs</a:t>
              </a:fld>
              <a:endParaRPr lang="id-ID" sz="1100"/>
            </a:p>
          </xdr:txBody>
        </xdr:sp>
      </xdr:grpSp>
    </xdr:grpSp>
    <xdr:clientData/>
  </xdr:twoCellAnchor>
  <xdr:twoCellAnchor>
    <xdr:from>
      <xdr:col>5</xdr:col>
      <xdr:colOff>371474</xdr:colOff>
      <xdr:row>37</xdr:row>
      <xdr:rowOff>152811</xdr:rowOff>
    </xdr:from>
    <xdr:to>
      <xdr:col>21</xdr:col>
      <xdr:colOff>47624</xdr:colOff>
      <xdr:row>43</xdr:row>
      <xdr:rowOff>25259</xdr:rowOff>
    </xdr:to>
    <xdr:sp macro="" textlink="">
      <xdr:nvSpPr>
        <xdr:cNvPr id="256" name="Rounded Rectangle 255">
          <a:extLst>
            <a:ext uri="{FF2B5EF4-FFF2-40B4-BE49-F238E27FC236}">
              <a16:creationId xmlns:a16="http://schemas.microsoft.com/office/drawing/2014/main" id="{00000000-0008-0000-0900-000000010000}"/>
            </a:ext>
          </a:extLst>
        </xdr:cNvPr>
        <xdr:cNvSpPr/>
      </xdr:nvSpPr>
      <xdr:spPr>
        <a:xfrm>
          <a:off x="3419474" y="7201311"/>
          <a:ext cx="9429750" cy="1015448"/>
        </a:xfrm>
        <a:prstGeom prst="roundRect">
          <a:avLst>
            <a:gd name="adj" fmla="val 1997"/>
          </a:avLst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169113</xdr:colOff>
      <xdr:row>38</xdr:row>
      <xdr:rowOff>9936</xdr:rowOff>
    </xdr:from>
    <xdr:to>
      <xdr:col>20</xdr:col>
      <xdr:colOff>249985</xdr:colOff>
      <xdr:row>40</xdr:row>
      <xdr:rowOff>114711</xdr:rowOff>
    </xdr:to>
    <xdr:sp macro="" textlink="'Target Per Line'!$I$34:$P$34">
      <xdr:nvSpPr>
        <xdr:cNvPr id="257" name="Rectangle 256">
          <a:extLst>
            <a:ext uri="{FF2B5EF4-FFF2-40B4-BE49-F238E27FC236}">
              <a16:creationId xmlns:a16="http://schemas.microsoft.com/office/drawing/2014/main" id="{00000000-0008-0000-0900-000001010000}"/>
            </a:ext>
          </a:extLst>
        </xdr:cNvPr>
        <xdr:cNvSpPr/>
      </xdr:nvSpPr>
      <xdr:spPr>
        <a:xfrm>
          <a:off x="3799819" y="7248936"/>
          <a:ext cx="8552519" cy="4857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fld id="{8A650084-97B4-43A0-9CB4-B5D511F847E9}" type="TxLink"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Produksi Minimal Hari Ini (Akhir Bulan)</a:t>
          </a:fld>
          <a:endParaRPr lang="id-ID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412343</xdr:colOff>
      <xdr:row>39</xdr:row>
      <xdr:rowOff>144944</xdr:rowOff>
    </xdr:from>
    <xdr:to>
      <xdr:col>7</xdr:col>
      <xdr:colOff>303428</xdr:colOff>
      <xdr:row>42</xdr:row>
      <xdr:rowOff>178074</xdr:rowOff>
    </xdr:to>
    <xdr:grpSp>
      <xdr:nvGrpSpPr>
        <xdr:cNvPr id="269" name="Group 268">
          <a:extLst>
            <a:ext uri="{FF2B5EF4-FFF2-40B4-BE49-F238E27FC236}">
              <a16:creationId xmlns:a16="http://schemas.microsoft.com/office/drawing/2014/main" id="{00000000-0008-0000-0900-00000D010000}"/>
            </a:ext>
          </a:extLst>
        </xdr:cNvPr>
        <xdr:cNvGrpSpPr/>
      </xdr:nvGrpSpPr>
      <xdr:grpSpPr>
        <a:xfrm>
          <a:off x="3462483" y="7657922"/>
          <a:ext cx="1111142" cy="611051"/>
          <a:chOff x="3477454" y="7545457"/>
          <a:chExt cx="985631" cy="728869"/>
        </a:xfrm>
      </xdr:grpSpPr>
      <xdr:sp macro="" textlink="'Target Per Line'!$I$35">
        <xdr:nvSpPr>
          <xdr:cNvPr id="258" name="Rounded Rectangle 257">
            <a:extLst>
              <a:ext uri="{FF2B5EF4-FFF2-40B4-BE49-F238E27FC236}">
                <a16:creationId xmlns:a16="http://schemas.microsoft.com/office/drawing/2014/main" id="{00000000-0008-0000-0900-000002010000}"/>
              </a:ext>
            </a:extLst>
          </xdr:cNvPr>
          <xdr:cNvSpPr/>
        </xdr:nvSpPr>
        <xdr:spPr>
          <a:xfrm>
            <a:off x="3477454" y="7545457"/>
            <a:ext cx="985631" cy="728869"/>
          </a:xfrm>
          <a:prstGeom prst="roundRect">
            <a:avLst>
              <a:gd name="adj" fmla="val 4062"/>
            </a:avLst>
          </a:prstGeom>
          <a:noFill/>
          <a:ln>
            <a:solidFill>
              <a:schemeClr val="accent4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400" b="1" i="0" u="none" strike="noStrike">
                <a:solidFill>
                  <a:srgbClr val="595959"/>
                </a:solidFill>
                <a:latin typeface="Calibri"/>
                <a:cs typeface="Calibri"/>
              </a:rPr>
              <a:t>LINE</a:t>
            </a:r>
            <a:r>
              <a:rPr lang="en-US" sz="1400" b="1" i="0" u="none" strike="noStrike" baseline="0">
                <a:solidFill>
                  <a:srgbClr val="595959"/>
                </a:solidFill>
                <a:latin typeface="Calibri"/>
                <a:cs typeface="Calibri"/>
              </a:rPr>
              <a:t> A</a:t>
            </a:r>
          </a:p>
        </xdr:txBody>
      </xdr:sp>
      <xdr:sp macro="" textlink="">
        <xdr:nvSpPr>
          <xdr:cNvPr id="268" name="Rounded 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511205" y="7834519"/>
            <a:ext cx="918128" cy="410818"/>
          </a:xfrm>
          <a:prstGeom prst="roundRect">
            <a:avLst>
              <a:gd name="adj" fmla="val 4062"/>
            </a:avLst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endParaRPr lang="en-US" sz="1100" b="1" i="0" u="none" strike="noStrike">
              <a:solidFill>
                <a:schemeClr val="bg1"/>
              </a:solidFill>
              <a:latin typeface="Calibri"/>
              <a:cs typeface="Calibri"/>
            </a:endParaRPr>
          </a:p>
        </xdr:txBody>
      </xdr:sp>
      <xdr:sp macro="" textlink="'Target Per Line'!$I$37">
        <xdr:nvSpPr>
          <xdr:cNvPr id="266" name="Rounded Rectangle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SpPr/>
        </xdr:nvSpPr>
        <xdr:spPr>
          <a:xfrm>
            <a:off x="3569494" y="7907401"/>
            <a:ext cx="801550" cy="265054"/>
          </a:xfrm>
          <a:prstGeom prst="roundRect">
            <a:avLst>
              <a:gd name="adj" fmla="val 4062"/>
            </a:avLst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2803C131-0B6A-4150-B6A3-84A1810F51F6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448,425</a:t>
            </a:fld>
            <a:endParaRPr lang="id-ID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7</xdr:col>
      <xdr:colOff>564602</xdr:colOff>
      <xdr:row>39</xdr:row>
      <xdr:rowOff>144944</xdr:rowOff>
    </xdr:from>
    <xdr:to>
      <xdr:col>9</xdr:col>
      <xdr:colOff>455688</xdr:colOff>
      <xdr:row>42</xdr:row>
      <xdr:rowOff>178074</xdr:rowOff>
    </xdr:to>
    <xdr:grpSp>
      <xdr:nvGrpSpPr>
        <xdr:cNvPr id="274" name="Group 273">
          <a:extLst>
            <a:ext uri="{FF2B5EF4-FFF2-40B4-BE49-F238E27FC236}">
              <a16:creationId xmlns:a16="http://schemas.microsoft.com/office/drawing/2014/main" id="{00000000-0008-0000-0900-000012010000}"/>
            </a:ext>
          </a:extLst>
        </xdr:cNvPr>
        <xdr:cNvGrpSpPr/>
      </xdr:nvGrpSpPr>
      <xdr:grpSpPr>
        <a:xfrm>
          <a:off x="4834799" y="7657922"/>
          <a:ext cx="1111142" cy="611051"/>
          <a:chOff x="3477454" y="7545457"/>
          <a:chExt cx="985631" cy="728869"/>
        </a:xfrm>
      </xdr:grpSpPr>
      <xdr:sp macro="" textlink="'Target Per Line'!$K$35">
        <xdr:nvSpPr>
          <xdr:cNvPr id="275" name="Rounded Rectangle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SpPr/>
        </xdr:nvSpPr>
        <xdr:spPr>
          <a:xfrm>
            <a:off x="3477454" y="7545457"/>
            <a:ext cx="985631" cy="728869"/>
          </a:xfrm>
          <a:prstGeom prst="roundRect">
            <a:avLst>
              <a:gd name="adj" fmla="val 4062"/>
            </a:avLst>
          </a:prstGeom>
          <a:noFill/>
          <a:ln>
            <a:solidFill>
              <a:schemeClr val="accent4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400" b="1" i="0" u="none" strike="noStrike">
                <a:solidFill>
                  <a:srgbClr val="595959"/>
                </a:solidFill>
                <a:latin typeface="Calibri"/>
                <a:cs typeface="Calibri"/>
              </a:rPr>
              <a:t>LINE B</a:t>
            </a:r>
            <a:endParaRPr lang="id-ID" sz="1200" b="1"/>
          </a:p>
        </xdr:txBody>
      </xdr:sp>
      <xdr:sp macro="" textlink="">
        <xdr:nvSpPr>
          <xdr:cNvPr id="276" name="Rounded Rectangle 275">
            <a:extLst>
              <a:ext uri="{FF2B5EF4-FFF2-40B4-BE49-F238E27FC236}">
                <a16:creationId xmlns:a16="http://schemas.microsoft.com/office/drawing/2014/main" id="{00000000-0008-0000-0900-000014010000}"/>
              </a:ext>
            </a:extLst>
          </xdr:cNvPr>
          <xdr:cNvSpPr/>
        </xdr:nvSpPr>
        <xdr:spPr>
          <a:xfrm>
            <a:off x="3511205" y="7834519"/>
            <a:ext cx="918128" cy="410818"/>
          </a:xfrm>
          <a:prstGeom prst="roundRect">
            <a:avLst>
              <a:gd name="adj" fmla="val 4062"/>
            </a:avLst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endParaRPr lang="en-US" sz="1100" b="1" i="0" u="none" strike="noStrike">
              <a:solidFill>
                <a:schemeClr val="bg1"/>
              </a:solidFill>
              <a:latin typeface="Calibri"/>
              <a:cs typeface="Calibri"/>
            </a:endParaRPr>
          </a:p>
        </xdr:txBody>
      </xdr:sp>
      <xdr:sp macro="" textlink="'Target Per Line'!$K$37">
        <xdr:nvSpPr>
          <xdr:cNvPr id="277" name="Rounded 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569494" y="7907401"/>
            <a:ext cx="801550" cy="265054"/>
          </a:xfrm>
          <a:prstGeom prst="roundRect">
            <a:avLst>
              <a:gd name="adj" fmla="val 4062"/>
            </a:avLst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DBA6AAFB-B63D-471F-8401-8A02606928FF}" type="TxLink">
              <a:rPr lang="en-US" sz="16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3,701,250</a:t>
            </a:fld>
            <a:endParaRPr lang="id-ID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10</xdr:col>
      <xdr:colOff>111745</xdr:colOff>
      <xdr:row>39</xdr:row>
      <xdr:rowOff>144944</xdr:rowOff>
    </xdr:from>
    <xdr:to>
      <xdr:col>12</xdr:col>
      <xdr:colOff>2830</xdr:colOff>
      <xdr:row>42</xdr:row>
      <xdr:rowOff>178074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900-000016010000}"/>
            </a:ext>
          </a:extLst>
        </xdr:cNvPr>
        <xdr:cNvGrpSpPr/>
      </xdr:nvGrpSpPr>
      <xdr:grpSpPr>
        <a:xfrm>
          <a:off x="6212026" y="7657922"/>
          <a:ext cx="1111141" cy="611051"/>
          <a:chOff x="3477454" y="7545457"/>
          <a:chExt cx="985631" cy="728869"/>
        </a:xfrm>
      </xdr:grpSpPr>
      <xdr:sp macro="" textlink="'Target Per Line'!$L$35">
        <xdr:nvSpPr>
          <xdr:cNvPr id="279" name="Rounded Rectangle 278">
            <a:extLst>
              <a:ext uri="{FF2B5EF4-FFF2-40B4-BE49-F238E27FC236}">
                <a16:creationId xmlns:a16="http://schemas.microsoft.com/office/drawing/2014/main" id="{00000000-0008-0000-0900-000017010000}"/>
              </a:ext>
            </a:extLst>
          </xdr:cNvPr>
          <xdr:cNvSpPr/>
        </xdr:nvSpPr>
        <xdr:spPr>
          <a:xfrm>
            <a:off x="3477454" y="7545457"/>
            <a:ext cx="985631" cy="728869"/>
          </a:xfrm>
          <a:prstGeom prst="roundRect">
            <a:avLst>
              <a:gd name="adj" fmla="val 4062"/>
            </a:avLst>
          </a:prstGeom>
          <a:noFill/>
          <a:ln>
            <a:solidFill>
              <a:schemeClr val="accent4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400" b="1" i="0" u="none" strike="noStrike">
                <a:solidFill>
                  <a:srgbClr val="595959"/>
                </a:solidFill>
                <a:latin typeface="Calibri"/>
                <a:cs typeface="Calibri"/>
              </a:rPr>
              <a:t>LINE</a:t>
            </a:r>
            <a:r>
              <a:rPr lang="en-US" sz="1400" b="1" i="0" u="none" strike="noStrike" baseline="0">
                <a:solidFill>
                  <a:srgbClr val="595959"/>
                </a:solidFill>
                <a:latin typeface="Calibri"/>
                <a:cs typeface="Calibri"/>
              </a:rPr>
              <a:t> C</a:t>
            </a:r>
            <a:endParaRPr lang="id-ID" sz="1200" b="1"/>
          </a:p>
        </xdr:txBody>
      </xdr:sp>
      <xdr:sp macro="" textlink="">
        <xdr:nvSpPr>
          <xdr:cNvPr id="280" name="Rounded 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511205" y="7834519"/>
            <a:ext cx="918128" cy="410818"/>
          </a:xfrm>
          <a:prstGeom prst="roundRect">
            <a:avLst>
              <a:gd name="adj" fmla="val 4062"/>
            </a:avLst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endParaRPr lang="en-US" sz="1100" b="1" i="0" u="none" strike="noStrike">
              <a:solidFill>
                <a:schemeClr val="bg1"/>
              </a:solidFill>
              <a:latin typeface="Calibri"/>
              <a:cs typeface="Calibri"/>
            </a:endParaRPr>
          </a:p>
        </xdr:txBody>
      </xdr:sp>
      <xdr:sp macro="" textlink="'Target Per Line'!$L$37">
        <xdr:nvSpPr>
          <xdr:cNvPr id="281" name="Rounded Rectangle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SpPr/>
        </xdr:nvSpPr>
        <xdr:spPr>
          <a:xfrm>
            <a:off x="3569494" y="7907401"/>
            <a:ext cx="801550" cy="265054"/>
          </a:xfrm>
          <a:prstGeom prst="roundRect">
            <a:avLst>
              <a:gd name="adj" fmla="val 4062"/>
            </a:avLst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E9F6C230-9CF2-498A-B02E-13CA89C49972}" type="TxLink">
              <a:rPr lang="en-US" sz="1600" b="1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492,176</a:t>
            </a:fld>
            <a:endParaRPr lang="id-ID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12</xdr:col>
      <xdr:colOff>264004</xdr:colOff>
      <xdr:row>39</xdr:row>
      <xdr:rowOff>144944</xdr:rowOff>
    </xdr:from>
    <xdr:to>
      <xdr:col>14</xdr:col>
      <xdr:colOff>155090</xdr:colOff>
      <xdr:row>42</xdr:row>
      <xdr:rowOff>178074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7584341" y="7657922"/>
          <a:ext cx="1111142" cy="611051"/>
          <a:chOff x="3477454" y="7545457"/>
          <a:chExt cx="985631" cy="728869"/>
        </a:xfrm>
      </xdr:grpSpPr>
      <xdr:sp macro="" textlink="'Target Per Line'!$M$35">
        <xdr:nvSpPr>
          <xdr:cNvPr id="283" name="Rounded 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477454" y="7545457"/>
            <a:ext cx="985631" cy="728869"/>
          </a:xfrm>
          <a:prstGeom prst="roundRect">
            <a:avLst>
              <a:gd name="adj" fmla="val 4062"/>
            </a:avLst>
          </a:prstGeom>
          <a:noFill/>
          <a:ln>
            <a:solidFill>
              <a:schemeClr val="accent4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400" b="1" i="0" u="none" strike="noStrike">
                <a:solidFill>
                  <a:srgbClr val="595959"/>
                </a:solidFill>
                <a:latin typeface="Calibri"/>
                <a:cs typeface="Calibri"/>
              </a:rPr>
              <a:t>LINE</a:t>
            </a:r>
            <a:r>
              <a:rPr lang="en-US" sz="1400" b="1" i="0" u="none" strike="noStrike" baseline="0">
                <a:solidFill>
                  <a:srgbClr val="595959"/>
                </a:solidFill>
                <a:latin typeface="Calibri"/>
                <a:cs typeface="Calibri"/>
              </a:rPr>
              <a:t> D</a:t>
            </a:r>
            <a:endParaRPr lang="en-US" sz="1400" b="1" i="0" u="none" strike="noStrike">
              <a:solidFill>
                <a:srgbClr val="595959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284" name="Rounded Rectangle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SpPr/>
        </xdr:nvSpPr>
        <xdr:spPr>
          <a:xfrm>
            <a:off x="3511205" y="7834519"/>
            <a:ext cx="918128" cy="410818"/>
          </a:xfrm>
          <a:prstGeom prst="roundRect">
            <a:avLst>
              <a:gd name="adj" fmla="val 4062"/>
            </a:avLst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endParaRPr lang="en-US" sz="1100" b="1" i="0" u="none" strike="noStrike">
              <a:solidFill>
                <a:schemeClr val="bg1"/>
              </a:solidFill>
              <a:latin typeface="Calibri"/>
              <a:cs typeface="Calibri"/>
            </a:endParaRPr>
          </a:p>
        </xdr:txBody>
      </xdr:sp>
      <xdr:sp macro="" textlink="'Target Per Line'!$M$37">
        <xdr:nvSpPr>
          <xdr:cNvPr id="285" name="Rounded Rectangle 284">
            <a:extLst>
              <a:ext uri="{FF2B5EF4-FFF2-40B4-BE49-F238E27FC236}">
                <a16:creationId xmlns:a16="http://schemas.microsoft.com/office/drawing/2014/main" id="{00000000-0008-0000-0900-00001D010000}"/>
              </a:ext>
            </a:extLst>
          </xdr:cNvPr>
          <xdr:cNvSpPr/>
        </xdr:nvSpPr>
        <xdr:spPr>
          <a:xfrm>
            <a:off x="3569494" y="7907401"/>
            <a:ext cx="801550" cy="265054"/>
          </a:xfrm>
          <a:prstGeom prst="roundRect">
            <a:avLst>
              <a:gd name="adj" fmla="val 4062"/>
            </a:avLst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10A998-CEDA-4177-A728-BEF7C5801119}" type="TxLink">
              <a:rPr lang="en-US" sz="16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112,900</a:t>
            </a:fld>
            <a:endParaRPr lang="id-ID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416264</xdr:colOff>
      <xdr:row>39</xdr:row>
      <xdr:rowOff>144944</xdr:rowOff>
    </xdr:from>
    <xdr:to>
      <xdr:col>16</xdr:col>
      <xdr:colOff>307350</xdr:colOff>
      <xdr:row>42</xdr:row>
      <xdr:rowOff>178074</xdr:rowOff>
    </xdr:to>
    <xdr:grpSp>
      <xdr:nvGrpSpPr>
        <xdr:cNvPr id="286" name="Group 285">
          <a:extLst>
            <a:ext uri="{FF2B5EF4-FFF2-40B4-BE49-F238E27FC236}">
              <a16:creationId xmlns:a16="http://schemas.microsoft.com/office/drawing/2014/main" id="{00000000-0008-0000-0900-00001E010000}"/>
            </a:ext>
          </a:extLst>
        </xdr:cNvPr>
        <xdr:cNvGrpSpPr/>
      </xdr:nvGrpSpPr>
      <xdr:grpSpPr>
        <a:xfrm>
          <a:off x="8956657" y="7657922"/>
          <a:ext cx="1111142" cy="611051"/>
          <a:chOff x="3477454" y="7545457"/>
          <a:chExt cx="985631" cy="728869"/>
        </a:xfrm>
      </xdr:grpSpPr>
      <xdr:sp macro="" textlink="'Target Per Line'!$N$35">
        <xdr:nvSpPr>
          <xdr:cNvPr id="287" name="Rounded Rectangle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SpPr/>
        </xdr:nvSpPr>
        <xdr:spPr>
          <a:xfrm>
            <a:off x="3477454" y="7545457"/>
            <a:ext cx="985631" cy="728869"/>
          </a:xfrm>
          <a:prstGeom prst="roundRect">
            <a:avLst>
              <a:gd name="adj" fmla="val 4062"/>
            </a:avLst>
          </a:prstGeom>
          <a:noFill/>
          <a:ln>
            <a:solidFill>
              <a:schemeClr val="accent4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600" b="1" i="0" u="none" strike="noStrike">
                <a:solidFill>
                  <a:srgbClr val="595959"/>
                </a:solidFill>
                <a:latin typeface="Calibri"/>
                <a:cs typeface="Calibri"/>
              </a:rPr>
              <a:t>LINE</a:t>
            </a:r>
            <a:r>
              <a:rPr lang="en-US" sz="1600" b="1" i="0" u="none" strike="noStrike" baseline="0">
                <a:solidFill>
                  <a:srgbClr val="595959"/>
                </a:solidFill>
                <a:latin typeface="Calibri"/>
                <a:cs typeface="Calibri"/>
              </a:rPr>
              <a:t> E</a:t>
            </a:r>
            <a:endParaRPr lang="id-ID" sz="1400" b="1"/>
          </a:p>
        </xdr:txBody>
      </xdr:sp>
      <xdr:sp macro="" textlink="">
        <xdr:nvSpPr>
          <xdr:cNvPr id="288" name="Rounded Rectangle 287">
            <a:extLst>
              <a:ext uri="{FF2B5EF4-FFF2-40B4-BE49-F238E27FC236}">
                <a16:creationId xmlns:a16="http://schemas.microsoft.com/office/drawing/2014/main" id="{00000000-0008-0000-0900-000020010000}"/>
              </a:ext>
            </a:extLst>
          </xdr:cNvPr>
          <xdr:cNvSpPr/>
        </xdr:nvSpPr>
        <xdr:spPr>
          <a:xfrm>
            <a:off x="3511205" y="7834519"/>
            <a:ext cx="918128" cy="410818"/>
          </a:xfrm>
          <a:prstGeom prst="roundRect">
            <a:avLst>
              <a:gd name="adj" fmla="val 4062"/>
            </a:avLst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endParaRPr lang="en-US" sz="1100" b="1" i="0" u="none" strike="noStrike">
              <a:solidFill>
                <a:schemeClr val="bg1"/>
              </a:solidFill>
              <a:latin typeface="Calibri"/>
              <a:cs typeface="Calibri"/>
            </a:endParaRPr>
          </a:p>
        </xdr:txBody>
      </xdr:sp>
      <xdr:sp macro="" textlink="'Target Per Line'!$N$37">
        <xdr:nvSpPr>
          <xdr:cNvPr id="289" name="Rounded 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569494" y="7907401"/>
            <a:ext cx="801550" cy="265054"/>
          </a:xfrm>
          <a:prstGeom prst="roundRect">
            <a:avLst>
              <a:gd name="adj" fmla="val 4062"/>
            </a:avLst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0E93157-84D0-49F2-BA5F-1FB3FC273310}" type="TxLink">
              <a:rPr lang="en-US" sz="16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202,218</a:t>
            </a:fld>
            <a:endParaRPr lang="id-ID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16</xdr:col>
      <xdr:colOff>568524</xdr:colOff>
      <xdr:row>39</xdr:row>
      <xdr:rowOff>144944</xdr:rowOff>
    </xdr:from>
    <xdr:to>
      <xdr:col>18</xdr:col>
      <xdr:colOff>459609</xdr:colOff>
      <xdr:row>42</xdr:row>
      <xdr:rowOff>178074</xdr:rowOff>
    </xdr:to>
    <xdr:grpSp>
      <xdr:nvGrpSpPr>
        <xdr:cNvPr id="290" name="Group 289">
          <a:extLst>
            <a:ext uri="{FF2B5EF4-FFF2-40B4-BE49-F238E27FC236}">
              <a16:creationId xmlns:a16="http://schemas.microsoft.com/office/drawing/2014/main" id="{00000000-0008-0000-0900-000022010000}"/>
            </a:ext>
          </a:extLst>
        </xdr:cNvPr>
        <xdr:cNvGrpSpPr/>
      </xdr:nvGrpSpPr>
      <xdr:grpSpPr>
        <a:xfrm>
          <a:off x="10328973" y="7657922"/>
          <a:ext cx="1111142" cy="611051"/>
          <a:chOff x="3477454" y="7545457"/>
          <a:chExt cx="985631" cy="728869"/>
        </a:xfrm>
      </xdr:grpSpPr>
      <xdr:sp macro="" textlink="'Target Per Line'!$O$35">
        <xdr:nvSpPr>
          <xdr:cNvPr id="291" name="Rounded Rectangle 290">
            <a:extLst>
              <a:ext uri="{FF2B5EF4-FFF2-40B4-BE49-F238E27FC236}">
                <a16:creationId xmlns:a16="http://schemas.microsoft.com/office/drawing/2014/main" id="{00000000-0008-0000-0900-000023010000}"/>
              </a:ext>
            </a:extLst>
          </xdr:cNvPr>
          <xdr:cNvSpPr/>
        </xdr:nvSpPr>
        <xdr:spPr>
          <a:xfrm>
            <a:off x="3477454" y="7545457"/>
            <a:ext cx="985631" cy="728869"/>
          </a:xfrm>
          <a:prstGeom prst="roundRect">
            <a:avLst>
              <a:gd name="adj" fmla="val 4062"/>
            </a:avLst>
          </a:prstGeom>
          <a:noFill/>
          <a:ln>
            <a:solidFill>
              <a:schemeClr val="accent4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600" b="1" i="0" u="none" strike="noStrike">
                <a:solidFill>
                  <a:srgbClr val="595959"/>
                </a:solidFill>
                <a:latin typeface="Calibri"/>
                <a:cs typeface="Calibri"/>
              </a:rPr>
              <a:t>LINE</a:t>
            </a:r>
            <a:r>
              <a:rPr lang="en-US" sz="1600" b="1" i="0" u="none" strike="noStrike" baseline="0">
                <a:solidFill>
                  <a:srgbClr val="595959"/>
                </a:solidFill>
                <a:latin typeface="Calibri"/>
                <a:cs typeface="Calibri"/>
              </a:rPr>
              <a:t> F</a:t>
            </a:r>
            <a:endParaRPr lang="id-ID" sz="1400" b="1"/>
          </a:p>
        </xdr:txBody>
      </xdr:sp>
      <xdr:sp macro="" textlink="">
        <xdr:nvSpPr>
          <xdr:cNvPr id="292" name="Rounded 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511205" y="7834519"/>
            <a:ext cx="918128" cy="410818"/>
          </a:xfrm>
          <a:prstGeom prst="roundRect">
            <a:avLst>
              <a:gd name="adj" fmla="val 4062"/>
            </a:avLst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endParaRPr lang="en-US" sz="1100" b="1" i="0" u="none" strike="noStrike">
              <a:solidFill>
                <a:schemeClr val="bg1"/>
              </a:solidFill>
              <a:latin typeface="Calibri"/>
              <a:cs typeface="Calibri"/>
            </a:endParaRPr>
          </a:p>
        </xdr:txBody>
      </xdr:sp>
      <xdr:sp macro="" textlink="'Target Per Line'!$O$37">
        <xdr:nvSpPr>
          <xdr:cNvPr id="293" name="Rounded Rectangle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SpPr/>
        </xdr:nvSpPr>
        <xdr:spPr>
          <a:xfrm>
            <a:off x="3569494" y="7907401"/>
            <a:ext cx="801550" cy="265054"/>
          </a:xfrm>
          <a:prstGeom prst="roundRect">
            <a:avLst>
              <a:gd name="adj" fmla="val 4062"/>
            </a:avLst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21B83013-6678-4EF0-8C69-F68EA0A4F862}" type="TxLink">
              <a:rPr lang="en-US" sz="16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390,153</a:t>
            </a:fld>
            <a:endParaRPr lang="id-ID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19</xdr:col>
      <xdr:colOff>115668</xdr:colOff>
      <xdr:row>39</xdr:row>
      <xdr:rowOff>144944</xdr:rowOff>
    </xdr:from>
    <xdr:to>
      <xdr:col>21</xdr:col>
      <xdr:colOff>6753</xdr:colOff>
      <xdr:row>42</xdr:row>
      <xdr:rowOff>178074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11706202" y="7657922"/>
          <a:ext cx="1111141" cy="611051"/>
          <a:chOff x="3477454" y="7545457"/>
          <a:chExt cx="985631" cy="728869"/>
        </a:xfrm>
      </xdr:grpSpPr>
      <xdr:sp macro="" textlink="'Target Per Line'!$P$35">
        <xdr:nvSpPr>
          <xdr:cNvPr id="295" name="Rounded 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477454" y="7545457"/>
            <a:ext cx="985631" cy="728869"/>
          </a:xfrm>
          <a:prstGeom prst="roundRect">
            <a:avLst>
              <a:gd name="adj" fmla="val 4062"/>
            </a:avLst>
          </a:prstGeom>
          <a:noFill/>
          <a:ln>
            <a:solidFill>
              <a:schemeClr val="accent4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600" b="1" i="0" u="none" strike="noStrike">
                <a:solidFill>
                  <a:srgbClr val="595959"/>
                </a:solidFill>
                <a:latin typeface="Calibri"/>
                <a:cs typeface="Calibri"/>
              </a:rPr>
              <a:t>LINE G</a:t>
            </a:r>
            <a:endParaRPr lang="id-ID" sz="1400" b="1"/>
          </a:p>
        </xdr:txBody>
      </xdr:sp>
      <xdr:sp macro="" textlink="">
        <xdr:nvSpPr>
          <xdr:cNvPr id="296" name="Rounded Rectangle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SpPr/>
        </xdr:nvSpPr>
        <xdr:spPr>
          <a:xfrm>
            <a:off x="3511205" y="7834519"/>
            <a:ext cx="918128" cy="410818"/>
          </a:xfrm>
          <a:prstGeom prst="roundRect">
            <a:avLst>
              <a:gd name="adj" fmla="val 4062"/>
            </a:avLst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endParaRPr lang="en-US" sz="1100" b="1" i="0" u="none" strike="noStrike">
              <a:solidFill>
                <a:schemeClr val="bg1"/>
              </a:solidFill>
              <a:latin typeface="Calibri"/>
              <a:cs typeface="Calibri"/>
            </a:endParaRPr>
          </a:p>
        </xdr:txBody>
      </xdr:sp>
      <xdr:sp macro="" textlink="'Target Per Line'!$P$37">
        <xdr:nvSpPr>
          <xdr:cNvPr id="297" name="Rounded Rectangle 296">
            <a:extLst>
              <a:ext uri="{FF2B5EF4-FFF2-40B4-BE49-F238E27FC236}">
                <a16:creationId xmlns:a16="http://schemas.microsoft.com/office/drawing/2014/main" id="{00000000-0008-0000-0900-000029010000}"/>
              </a:ext>
            </a:extLst>
          </xdr:cNvPr>
          <xdr:cNvSpPr/>
        </xdr:nvSpPr>
        <xdr:spPr>
          <a:xfrm>
            <a:off x="3569494" y="7907401"/>
            <a:ext cx="801550" cy="265054"/>
          </a:xfrm>
          <a:prstGeom prst="roundRect">
            <a:avLst>
              <a:gd name="adj" fmla="val 4062"/>
            </a:avLst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C26674E5-A420-445B-8B1E-AC128A7A36A5}" type="TxLink">
              <a:rPr lang="en-US" sz="16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238,335</a:t>
            </a:fld>
            <a:endParaRPr lang="id-ID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16</xdr:col>
      <xdr:colOff>35099</xdr:colOff>
      <xdr:row>3</xdr:row>
      <xdr:rowOff>162029</xdr:rowOff>
    </xdr:from>
    <xdr:to>
      <xdr:col>21</xdr:col>
      <xdr:colOff>16049</xdr:colOff>
      <xdr:row>4</xdr:row>
      <xdr:rowOff>183150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9795548" y="739950"/>
          <a:ext cx="3031091" cy="213762"/>
          <a:chOff x="9658350" y="333375"/>
          <a:chExt cx="3028950" cy="40005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>
            <a:off x="9658350" y="333375"/>
            <a:ext cx="3028950" cy="400050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l"/>
            <a:r>
              <a:rPr lang="id-ID" sz="1200" b="1">
                <a:solidFill>
                  <a:sysClr val="windowText" lastClr="000000"/>
                </a:solidFill>
              </a:rPr>
              <a:t>UPDATE PERTANGGAL </a:t>
            </a:r>
          </a:p>
        </xdr:txBody>
      </xdr:sp>
      <xdr:sp macro="" textlink="KPI!$F$13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0953750" y="333375"/>
            <a:ext cx="1733550" cy="4000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r"/>
            <a:fld id="{892075CA-BFFB-4390-98C8-F216168E9B27}" type="TxLink">
              <a:rPr lang="en-US" sz="1600" b="1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r"/>
              <a:t>31/07/2025 00.00</a:t>
            </a:fld>
            <a:endParaRPr lang="id-ID" sz="12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18</xdr:col>
      <xdr:colOff>222250</xdr:colOff>
      <xdr:row>2</xdr:row>
      <xdr:rowOff>21167</xdr:rowOff>
    </xdr:from>
    <xdr:to>
      <xdr:col>21</xdr:col>
      <xdr:colOff>52917</xdr:colOff>
      <xdr:row>3</xdr:row>
      <xdr:rowOff>148167</xdr:rowOff>
    </xdr:to>
    <xdr:sp macro="[0]!Refresh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11271250" y="402167"/>
          <a:ext cx="1672167" cy="317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600" b="1">
              <a:solidFill>
                <a:schemeClr val="accent6">
                  <a:lumMod val="50000"/>
                </a:schemeClr>
              </a:solidFill>
            </a:rPr>
            <a:t>REFRESH DATA</a:t>
          </a:r>
        </a:p>
      </xdr:txBody>
    </xdr:sp>
    <xdr:clientData/>
  </xdr:twoCellAnchor>
  <xdr:twoCellAnchor editAs="absolute">
    <xdr:from>
      <xdr:col>21</xdr:col>
      <xdr:colOff>156882</xdr:colOff>
      <xdr:row>5</xdr:row>
      <xdr:rowOff>112058</xdr:rowOff>
    </xdr:from>
    <xdr:to>
      <xdr:col>25</xdr:col>
      <xdr:colOff>124239</xdr:colOff>
      <xdr:row>14</xdr:row>
      <xdr:rowOff>171450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2958482" y="1064558"/>
          <a:ext cx="2405757" cy="1773892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0" rtlCol="0" anchor="t"/>
        <a:lstStyle/>
        <a:p>
          <a:pPr algn="l"/>
          <a:r>
            <a:rPr lang="id-ID" sz="1100">
              <a:solidFill>
                <a:sysClr val="windowText" lastClr="000000"/>
              </a:solidFill>
            </a:rPr>
            <a:t>*Target</a:t>
          </a:r>
          <a:r>
            <a:rPr lang="id-ID" sz="1100" baseline="0">
              <a:solidFill>
                <a:sysClr val="windowText" lastClr="000000"/>
              </a:solidFill>
            </a:rPr>
            <a:t> Bulan Ini Per Hari Ini artinya adalah perhitungan target disesuaikan dengan jumlah hari kerja terpakai hingga hari ini</a:t>
          </a:r>
        </a:p>
        <a:p>
          <a:pPr algn="l"/>
          <a:r>
            <a:rPr lang="id-ID" sz="1100" baseline="0">
              <a:solidFill>
                <a:sysClr val="windowText" lastClr="000000"/>
              </a:solidFill>
            </a:rPr>
            <a:t>** Perhitungan target berdasarkan MPP, bukan SO</a:t>
          </a:r>
        </a:p>
        <a:p>
          <a:pPr algn="l"/>
          <a:r>
            <a:rPr lang="id-ID" sz="1100" baseline="0">
              <a:solidFill>
                <a:sysClr val="windowText" lastClr="000000"/>
              </a:solidFill>
            </a:rPr>
            <a:t>***Jumlah hari kerja yang digunakan dalam satu minggu adalah 6 hari kerja. Namun untuk Hari Sabtu hanya dihitung 0,7 hari</a:t>
          </a:r>
        </a:p>
      </xdr:txBody>
    </xdr:sp>
    <xdr:clientData/>
  </xdr:twoCellAnchor>
  <xdr:twoCellAnchor>
    <xdr:from>
      <xdr:col>6</xdr:col>
      <xdr:colOff>92826</xdr:colOff>
      <xdr:row>34</xdr:row>
      <xdr:rowOff>67086</xdr:rowOff>
    </xdr:from>
    <xdr:to>
      <xdr:col>7</xdr:col>
      <xdr:colOff>41377</xdr:colOff>
      <xdr:row>36</xdr:row>
      <xdr:rowOff>76611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3752995" y="6616861"/>
          <a:ext cx="558579" cy="394806"/>
          <a:chOff x="3723532" y="6544086"/>
          <a:chExt cx="553669" cy="390525"/>
        </a:xfrm>
      </xdr:grpSpPr>
      <xdr:sp macro="" textlink="'Target Per Line'!$I$28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723532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8090A23D-0B6A-490A-9C3A-4D59D56AEB20}" type="TxLink">
              <a:rPr lang="en-US" sz="1200" b="1" i="0" u="none" strike="noStrike">
                <a:solidFill>
                  <a:srgbClr val="70AD47"/>
                </a:solidFill>
                <a:latin typeface="Calibri"/>
                <a:cs typeface="Calibri"/>
              </a:rPr>
              <a:pPr algn="ctr"/>
              <a:t> </a:t>
            </a:fld>
            <a:endParaRPr lang="id-ID" sz="1100"/>
          </a:p>
        </xdr:txBody>
      </xdr:sp>
      <xdr:sp macro="" textlink="'Target Per Line'!$I$29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723532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9B23CF31-F9AD-4AD9-BF0C-C2AA9EDFCAD5}" type="TxLink">
              <a:rPr lang="en-US" sz="1200" b="1" i="0" u="none" strike="noStrike">
                <a:solidFill>
                  <a:srgbClr val="FFFF00"/>
                </a:solidFill>
                <a:latin typeface="Calibri"/>
                <a:cs typeface="Calibri"/>
              </a:rPr>
              <a:pPr algn="ctr"/>
              <a:t> </a:t>
            </a:fld>
            <a:endParaRPr lang="id-ID" sz="1100"/>
          </a:p>
        </xdr:txBody>
      </xdr:sp>
      <xdr:sp macro="" textlink="'Target Per Line'!$I$30">
        <xdr:nvSpPr>
          <xdr:cNvPr id="272" name="Rectangle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SpPr/>
        </xdr:nvSpPr>
        <xdr:spPr>
          <a:xfrm>
            <a:off x="3723532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0FC2888D-A429-4E54-B00F-A4399BCE471E}" type="TxLink">
              <a:rPr lang="en-US" sz="1200" b="1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ctr"/>
              <a:t>57.1%</a:t>
            </a:fld>
            <a:endParaRPr lang="id-ID" sz="1100"/>
          </a:p>
        </xdr:txBody>
      </xdr:sp>
    </xdr:grpSp>
    <xdr:clientData/>
  </xdr:twoCellAnchor>
  <xdr:twoCellAnchor>
    <xdr:from>
      <xdr:col>8</xdr:col>
      <xdr:colOff>241162</xdr:colOff>
      <xdr:row>34</xdr:row>
      <xdr:rowOff>67086</xdr:rowOff>
    </xdr:from>
    <xdr:to>
      <xdr:col>9</xdr:col>
      <xdr:colOff>189713</xdr:colOff>
      <xdr:row>36</xdr:row>
      <xdr:rowOff>76611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pSpPr/>
      </xdr:nvGrpSpPr>
      <xdr:grpSpPr>
        <a:xfrm>
          <a:off x="5121387" y="6616861"/>
          <a:ext cx="558579" cy="394806"/>
          <a:chOff x="5082103" y="6544086"/>
          <a:chExt cx="553669" cy="390525"/>
        </a:xfrm>
      </xdr:grpSpPr>
      <xdr:sp macro="" textlink="'Target Per Line'!$K$28">
        <xdr:nvSpPr>
          <xdr:cNvPr id="191" name="Rectangle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SpPr/>
        </xdr:nvSpPr>
        <xdr:spPr>
          <a:xfrm>
            <a:off x="5082103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9BA6FF97-E9B7-46E2-BE29-AC7EBE86E440}" type="TxLink">
              <a:rPr lang="en-US" sz="1200" b="1" i="0" u="none" strike="noStrike">
                <a:solidFill>
                  <a:srgbClr val="70AD47"/>
                </a:solidFill>
                <a:latin typeface="Calibri"/>
                <a:cs typeface="Calibri"/>
              </a:rPr>
              <a:pPr algn="ctr"/>
              <a:t> </a:t>
            </a:fld>
            <a:endParaRPr lang="id-ID" sz="1100"/>
          </a:p>
        </xdr:txBody>
      </xdr:sp>
      <xdr:sp macro="" textlink="'Target Per Line'!$K$29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900-000011010000}"/>
              </a:ext>
            </a:extLst>
          </xdr:cNvPr>
          <xdr:cNvSpPr/>
        </xdr:nvSpPr>
        <xdr:spPr>
          <a:xfrm>
            <a:off x="5082103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8CBF2B27-96E8-4476-AF32-4015B6EA63B4}" type="TxLink">
              <a:rPr lang="en-US" sz="1200" b="1" i="0" u="none" strike="noStrike">
                <a:solidFill>
                  <a:srgbClr val="FFFF00"/>
                </a:solidFill>
                <a:latin typeface="Calibri"/>
                <a:cs typeface="Calibri"/>
              </a:rPr>
              <a:pPr algn="ctr"/>
              <a:t> </a:t>
            </a:fld>
            <a:endParaRPr lang="id-ID" sz="1100"/>
          </a:p>
        </xdr:txBody>
      </xdr:sp>
      <xdr:sp macro="" textlink="'Target Per Line'!$K$30">
        <xdr:nvSpPr>
          <xdr:cNvPr id="299" name="Rectangle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SpPr/>
        </xdr:nvSpPr>
        <xdr:spPr>
          <a:xfrm>
            <a:off x="5082103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BCCC7D8B-79C8-49F9-9888-BAE99EC372D2}" type="TxLink">
              <a:rPr lang="en-US" sz="1200" b="1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ctr"/>
              <a:t>30.3%</a:t>
            </a:fld>
            <a:endParaRPr lang="id-ID" sz="1100"/>
          </a:p>
        </xdr:txBody>
      </xdr:sp>
    </xdr:grpSp>
    <xdr:clientData/>
  </xdr:twoCellAnchor>
  <xdr:twoCellAnchor>
    <xdr:from>
      <xdr:col>10</xdr:col>
      <xdr:colOff>389498</xdr:colOff>
      <xdr:row>34</xdr:row>
      <xdr:rowOff>67086</xdr:rowOff>
    </xdr:from>
    <xdr:to>
      <xdr:col>11</xdr:col>
      <xdr:colOff>338049</xdr:colOff>
      <xdr:row>36</xdr:row>
      <xdr:rowOff>76611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6489779" y="6616861"/>
          <a:ext cx="558579" cy="394806"/>
          <a:chOff x="6440674" y="6544086"/>
          <a:chExt cx="553669" cy="390525"/>
        </a:xfrm>
      </xdr:grpSpPr>
      <xdr:sp macro="" textlink="'Target Per Line'!$L$28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6440674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9C55C160-E451-4002-ACE2-2E4C74C59DE0}" type="TxLink">
              <a:rPr lang="en-US" sz="1200" b="1" i="0" u="none" strike="noStrike">
                <a:solidFill>
                  <a:srgbClr val="70AD47"/>
                </a:solidFill>
                <a:latin typeface="Calibri"/>
                <a:cs typeface="Calibri"/>
              </a:rPr>
              <a:pPr algn="ctr"/>
              <a:t> </a:t>
            </a:fld>
            <a:endParaRPr lang="id-ID" sz="1100"/>
          </a:p>
        </xdr:txBody>
      </xdr:sp>
      <xdr:sp macro="" textlink="'Target Per Line'!$L$29">
        <xdr:nvSpPr>
          <xdr:cNvPr id="300" name="Rectangle 299">
            <a:extLst>
              <a:ext uri="{FF2B5EF4-FFF2-40B4-BE49-F238E27FC236}">
                <a16:creationId xmlns:a16="http://schemas.microsoft.com/office/drawing/2014/main" id="{00000000-0008-0000-0900-00002C010000}"/>
              </a:ext>
            </a:extLst>
          </xdr:cNvPr>
          <xdr:cNvSpPr/>
        </xdr:nvSpPr>
        <xdr:spPr>
          <a:xfrm>
            <a:off x="6440674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30094EEF-A6FD-414C-A29E-C06D89D7C26E}" type="TxLink">
              <a:rPr lang="en-US" sz="1200" b="1" i="0" u="none" strike="noStrike">
                <a:solidFill>
                  <a:srgbClr val="FFFF00"/>
                </a:solidFill>
                <a:latin typeface="Calibri"/>
                <a:cs typeface="Calibri"/>
              </a:rPr>
              <a:pPr algn="ctr"/>
              <a:t> </a:t>
            </a:fld>
            <a:endParaRPr lang="id-ID" sz="1100"/>
          </a:p>
        </xdr:txBody>
      </xdr:sp>
      <xdr:sp macro="" textlink="'Target Per Line'!$L$30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6440674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35E8C8EB-A888-4E4E-BEC5-8C1CDAD5C230}" type="TxLink">
              <a:rPr lang="en-US" sz="1200" b="1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ctr"/>
              <a:t>18.9%</a:t>
            </a:fld>
            <a:endParaRPr lang="id-ID" sz="1100"/>
          </a:p>
        </xdr:txBody>
      </xdr:sp>
    </xdr:grpSp>
    <xdr:clientData/>
  </xdr:twoCellAnchor>
  <xdr:twoCellAnchor>
    <xdr:from>
      <xdr:col>12</xdr:col>
      <xdr:colOff>537833</xdr:colOff>
      <xdr:row>34</xdr:row>
      <xdr:rowOff>67086</xdr:rowOff>
    </xdr:from>
    <xdr:to>
      <xdr:col>13</xdr:col>
      <xdr:colOff>486385</xdr:colOff>
      <xdr:row>36</xdr:row>
      <xdr:rowOff>76611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GrpSpPr/>
      </xdr:nvGrpSpPr>
      <xdr:grpSpPr>
        <a:xfrm>
          <a:off x="7858170" y="6616861"/>
          <a:ext cx="558580" cy="394806"/>
          <a:chOff x="7799245" y="6544086"/>
          <a:chExt cx="553669" cy="390525"/>
        </a:xfrm>
      </xdr:grpSpPr>
      <xdr:sp macro="" textlink="'Target Per Line'!$M$28">
        <xdr:nvSpPr>
          <xdr:cNvPr id="213" name="Rectangle 212">
            <a:extLst>
              <a:ext uri="{FF2B5EF4-FFF2-40B4-BE49-F238E27FC236}">
                <a16:creationId xmlns:a16="http://schemas.microsoft.com/office/drawing/2014/main" id="{00000000-0008-0000-0900-0000D5000000}"/>
              </a:ext>
            </a:extLst>
          </xdr:cNvPr>
          <xdr:cNvSpPr/>
        </xdr:nvSpPr>
        <xdr:spPr>
          <a:xfrm>
            <a:off x="7799245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A130B4EA-899B-4D55-93A2-38937CD47861}" type="TxLink">
              <a:rPr lang="en-US" sz="1200" b="1" i="0" u="none" strike="noStrike">
                <a:solidFill>
                  <a:srgbClr val="70AD47"/>
                </a:solidFill>
                <a:latin typeface="Calibri"/>
                <a:cs typeface="Calibri"/>
              </a:rPr>
              <a:pPr algn="ctr"/>
              <a:t> </a:t>
            </a:fld>
            <a:endParaRPr lang="id-ID" sz="1100"/>
          </a:p>
        </xdr:txBody>
      </xdr:sp>
      <xdr:sp macro="" textlink="'Target Per Line'!$M$29">
        <xdr:nvSpPr>
          <xdr:cNvPr id="302" name="Rectangle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SpPr/>
        </xdr:nvSpPr>
        <xdr:spPr>
          <a:xfrm>
            <a:off x="7799245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7F91C2BE-39D0-4C8D-9748-023ECCEEC32F}" type="TxLink">
              <a:rPr lang="en-US" sz="1200" b="1" i="0" u="none" strike="noStrike">
                <a:solidFill>
                  <a:srgbClr val="FFFF00"/>
                </a:solidFill>
                <a:latin typeface="Calibri"/>
                <a:cs typeface="Calibri"/>
              </a:rPr>
              <a:pPr algn="ctr"/>
              <a:t> </a:t>
            </a:fld>
            <a:endParaRPr lang="id-ID" sz="1100"/>
          </a:p>
        </xdr:txBody>
      </xdr:sp>
      <xdr:sp macro="" textlink="'Target Per Line'!$M$30">
        <xdr:nvSpPr>
          <xdr:cNvPr id="303" name="Rectangle 302">
            <a:extLst>
              <a:ext uri="{FF2B5EF4-FFF2-40B4-BE49-F238E27FC236}">
                <a16:creationId xmlns:a16="http://schemas.microsoft.com/office/drawing/2014/main" id="{00000000-0008-0000-0900-00002F010000}"/>
              </a:ext>
            </a:extLst>
          </xdr:cNvPr>
          <xdr:cNvSpPr/>
        </xdr:nvSpPr>
        <xdr:spPr>
          <a:xfrm>
            <a:off x="7799245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F060A3F4-553F-4419-AB0E-DD731381293B}" type="TxLink">
              <a:rPr lang="en-US" sz="1200" b="1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ctr"/>
              <a:t>4.9%</a:t>
            </a:fld>
            <a:endParaRPr lang="id-ID" sz="1100"/>
          </a:p>
        </xdr:txBody>
      </xdr:sp>
    </xdr:grpSp>
    <xdr:clientData/>
  </xdr:twoCellAnchor>
  <xdr:twoCellAnchor>
    <xdr:from>
      <xdr:col>15</xdr:col>
      <xdr:colOff>81051</xdr:colOff>
      <xdr:row>34</xdr:row>
      <xdr:rowOff>67086</xdr:rowOff>
    </xdr:from>
    <xdr:to>
      <xdr:col>16</xdr:col>
      <xdr:colOff>29603</xdr:colOff>
      <xdr:row>36</xdr:row>
      <xdr:rowOff>76611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GrpSpPr/>
      </xdr:nvGrpSpPr>
      <xdr:grpSpPr>
        <a:xfrm>
          <a:off x="9231472" y="6616861"/>
          <a:ext cx="558580" cy="394806"/>
          <a:chOff x="9157816" y="6544086"/>
          <a:chExt cx="553669" cy="390525"/>
        </a:xfrm>
      </xdr:grpSpPr>
      <xdr:sp macro="" textlink="'Target Per Line'!$N$28">
        <xdr:nvSpPr>
          <xdr:cNvPr id="224" name="Rectangle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SpPr/>
        </xdr:nvSpPr>
        <xdr:spPr>
          <a:xfrm>
            <a:off x="9157816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2DE56F7F-ED14-4F1C-95A5-B8634C958AEE}" type="TxLink">
              <a:rPr lang="en-US" sz="1200" b="1" i="0" u="none" strike="noStrike">
                <a:solidFill>
                  <a:srgbClr val="70AD47"/>
                </a:solidFill>
                <a:latin typeface="Calibri"/>
                <a:cs typeface="Calibri"/>
              </a:rPr>
              <a:pPr algn="ctr"/>
              <a:t> </a:t>
            </a:fld>
            <a:endParaRPr lang="id-ID" sz="1100"/>
          </a:p>
        </xdr:txBody>
      </xdr:sp>
      <xdr:sp macro="" textlink="'Target Per Line'!$N$29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9157816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6A9B07FB-0C28-472B-8849-EE81EFECFEF8}" type="TxLink">
              <a:rPr lang="en-US" sz="1200" b="1" i="0" u="none" strike="noStrike">
                <a:solidFill>
                  <a:srgbClr val="FFFF00"/>
                </a:solidFill>
                <a:latin typeface="Calibri"/>
                <a:cs typeface="Calibri"/>
              </a:rPr>
              <a:pPr algn="ctr"/>
              <a:t> </a:t>
            </a:fld>
            <a:endParaRPr lang="id-ID" sz="1100"/>
          </a:p>
        </xdr:txBody>
      </xdr:sp>
      <xdr:sp macro="" textlink="'Target Per Line'!$N$30">
        <xdr:nvSpPr>
          <xdr:cNvPr id="305" name="Rectangle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SpPr/>
        </xdr:nvSpPr>
        <xdr:spPr>
          <a:xfrm>
            <a:off x="9157816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94D0A323-1139-4BC8-9B34-B0EEFAA8097D}" type="TxLink">
              <a:rPr lang="en-US" sz="1200" b="1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ctr"/>
              <a:t>33.3%</a:t>
            </a:fld>
            <a:endParaRPr lang="id-ID" sz="1100"/>
          </a:p>
        </xdr:txBody>
      </xdr:sp>
    </xdr:grpSp>
    <xdr:clientData/>
  </xdr:twoCellAnchor>
  <xdr:twoCellAnchor>
    <xdr:from>
      <xdr:col>17</xdr:col>
      <xdr:colOff>229387</xdr:colOff>
      <xdr:row>34</xdr:row>
      <xdr:rowOff>67086</xdr:rowOff>
    </xdr:from>
    <xdr:to>
      <xdr:col>18</xdr:col>
      <xdr:colOff>177938</xdr:colOff>
      <xdr:row>36</xdr:row>
      <xdr:rowOff>76611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10599865" y="6616861"/>
          <a:ext cx="558579" cy="394806"/>
          <a:chOff x="10516387" y="6544086"/>
          <a:chExt cx="553669" cy="390525"/>
        </a:xfrm>
      </xdr:grpSpPr>
      <xdr:sp macro="" textlink="'Target Per Line'!$O$28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10516387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072B92E8-F01C-43AF-A41E-7BB87479F344}" type="TxLink">
              <a:rPr lang="en-US" sz="1200" b="1" i="0" u="none" strike="noStrike">
                <a:solidFill>
                  <a:srgbClr val="70AD47"/>
                </a:solidFill>
                <a:latin typeface="Calibri"/>
                <a:cs typeface="Calibri"/>
              </a:rPr>
              <a:pPr algn="ctr"/>
              <a:t> </a:t>
            </a:fld>
            <a:endParaRPr lang="id-ID" sz="1100"/>
          </a:p>
        </xdr:txBody>
      </xdr:sp>
      <xdr:sp macro="" textlink="'Target Per Line'!$O$29">
        <xdr:nvSpPr>
          <xdr:cNvPr id="306" name="Rectangle 305">
            <a:extLst>
              <a:ext uri="{FF2B5EF4-FFF2-40B4-BE49-F238E27FC236}">
                <a16:creationId xmlns:a16="http://schemas.microsoft.com/office/drawing/2014/main" id="{00000000-0008-0000-0900-000032010000}"/>
              </a:ext>
            </a:extLst>
          </xdr:cNvPr>
          <xdr:cNvSpPr/>
        </xdr:nvSpPr>
        <xdr:spPr>
          <a:xfrm>
            <a:off x="10516387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E9567D12-4899-4598-81C8-B07375F1CF9E}" type="TxLink">
              <a:rPr lang="en-US" sz="1200" b="1" i="0" u="none" strike="noStrike">
                <a:solidFill>
                  <a:srgbClr val="FFFF00"/>
                </a:solidFill>
                <a:latin typeface="Calibri"/>
                <a:cs typeface="Calibri"/>
              </a:rPr>
              <a:pPr algn="ctr"/>
              <a:t> </a:t>
            </a:fld>
            <a:endParaRPr lang="id-ID" sz="1100"/>
          </a:p>
        </xdr:txBody>
      </xdr:sp>
      <xdr:sp macro="" textlink="'Target Per Line'!$O$30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10516387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DBA76148-65CC-4AF8-836D-11E5BCF5F163}" type="TxLink">
              <a:rPr lang="en-US" sz="1200" b="1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ctr"/>
              <a:t>52.0%</a:t>
            </a:fld>
            <a:endParaRPr lang="id-ID" sz="1100"/>
          </a:p>
        </xdr:txBody>
      </xdr:sp>
    </xdr:grpSp>
    <xdr:clientData/>
  </xdr:twoCellAnchor>
  <xdr:twoCellAnchor>
    <xdr:from>
      <xdr:col>19</xdr:col>
      <xdr:colOff>377722</xdr:colOff>
      <xdr:row>34</xdr:row>
      <xdr:rowOff>67086</xdr:rowOff>
    </xdr:from>
    <xdr:to>
      <xdr:col>20</xdr:col>
      <xdr:colOff>326273</xdr:colOff>
      <xdr:row>36</xdr:row>
      <xdr:rowOff>76611</xdr:rowOff>
    </xdr:to>
    <xdr:grpSp>
      <xdr:nvGrpSpPr>
        <xdr:cNvPr id="52" name="Group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GrpSpPr/>
      </xdr:nvGrpSpPr>
      <xdr:grpSpPr>
        <a:xfrm>
          <a:off x="11968256" y="6616861"/>
          <a:ext cx="558579" cy="394806"/>
          <a:chOff x="11874957" y="6544086"/>
          <a:chExt cx="553669" cy="390525"/>
        </a:xfrm>
      </xdr:grpSpPr>
      <xdr:sp macro="" textlink="'Target Per Line'!$P$28">
        <xdr:nvSpPr>
          <xdr:cNvPr id="246" name="Rectangle 245">
            <a:extLst>
              <a:ext uri="{FF2B5EF4-FFF2-40B4-BE49-F238E27FC236}">
                <a16:creationId xmlns:a16="http://schemas.microsoft.com/office/drawing/2014/main" id="{00000000-0008-0000-0900-0000F6000000}"/>
              </a:ext>
            </a:extLst>
          </xdr:cNvPr>
          <xdr:cNvSpPr/>
        </xdr:nvSpPr>
        <xdr:spPr>
          <a:xfrm>
            <a:off x="11874957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85AE4504-AACE-47C8-B7CE-1EA4E0F5FB78}" type="TxLink">
              <a:rPr lang="en-US" sz="1200" b="1" i="0" u="none" strike="noStrike">
                <a:solidFill>
                  <a:srgbClr val="70AD47"/>
                </a:solidFill>
                <a:latin typeface="Calibri"/>
                <a:cs typeface="Calibri"/>
              </a:rPr>
              <a:pPr algn="ctr"/>
              <a:t> </a:t>
            </a:fld>
            <a:endParaRPr lang="id-ID" sz="1100"/>
          </a:p>
        </xdr:txBody>
      </xdr:sp>
      <xdr:sp macro="" textlink="'Target Per Line'!$P$29">
        <xdr:nvSpPr>
          <xdr:cNvPr id="308" name="Rectangle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SpPr/>
        </xdr:nvSpPr>
        <xdr:spPr>
          <a:xfrm>
            <a:off x="11874957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CC89CFE0-D057-4E3E-9994-1B55CCCA1322}" type="TxLink">
              <a:rPr lang="en-US" sz="1200" b="1" i="0" u="none" strike="noStrike">
                <a:solidFill>
                  <a:srgbClr val="ED7D31"/>
                </a:solidFill>
                <a:latin typeface="Calibri"/>
                <a:ea typeface="Calibri"/>
                <a:cs typeface="Calibri"/>
              </a:rPr>
              <a:pPr algn="ctr"/>
              <a:t> </a:t>
            </a:fld>
            <a:endParaRPr lang="id-ID" sz="1100"/>
          </a:p>
        </xdr:txBody>
      </xdr:sp>
      <xdr:sp macro="" textlink="'Target Per Line'!$P$30">
        <xdr:nvSpPr>
          <xdr:cNvPr id="309" name="Rectangle 308">
            <a:extLst>
              <a:ext uri="{FF2B5EF4-FFF2-40B4-BE49-F238E27FC236}">
                <a16:creationId xmlns:a16="http://schemas.microsoft.com/office/drawing/2014/main" id="{00000000-0008-0000-0900-000035010000}"/>
              </a:ext>
            </a:extLst>
          </xdr:cNvPr>
          <xdr:cNvSpPr/>
        </xdr:nvSpPr>
        <xdr:spPr>
          <a:xfrm>
            <a:off x="11874957" y="6544086"/>
            <a:ext cx="553669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t"/>
          <a:lstStyle/>
          <a:p>
            <a:pPr algn="ctr"/>
            <a:fld id="{CB6FB946-0C1B-4CDC-9E09-5FDAB732331E}" type="TxLink">
              <a:rPr lang="en-US" sz="1200" b="1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ctr"/>
              <a:t>65.0%</a:t>
            </a:fld>
            <a:endParaRPr lang="id-ID" sz="1100"/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orman Dwi Febrio" refreshedDate="45916.920310185182" createdVersion="5" refreshedVersion="8" minRefreshableVersion="3" recordCount="96" xr:uid="{00000000-000A-0000-FFFF-FFFF0C000000}">
  <cacheSource type="worksheet">
    <worksheetSource name="Table1"/>
  </cacheSource>
  <cacheFields count="10">
    <cacheField name="No Bulan" numFmtId="14">
      <sharedItems containsSemiMixedTypes="0" containsNonDate="0" containsDate="1" containsString="0" minDate="2025-01-01T00:00:00" maxDate="2025-12-02T00:00:00"/>
    </cacheField>
    <cacheField name="Bulan" numFmtId="0">
      <sharedItems count="24">
        <s v="1"/>
        <s v="2"/>
        <s v="3"/>
        <s v="4"/>
        <s v="5"/>
        <s v="6"/>
        <s v="7"/>
        <s v="8"/>
        <s v="9"/>
        <s v="10"/>
        <s v="11"/>
        <s v="12"/>
        <s v="Agustus" u="1"/>
        <s v="Februari" u="1"/>
        <s v="September" u="1"/>
        <s v="November" u="1"/>
        <s v="Oktober" u="1"/>
        <s v="Juli" u="1"/>
        <s v="April" u="1"/>
        <s v="Januari" u="1"/>
        <s v="Mei" u="1"/>
        <s v="Juni" u="1"/>
        <s v="Desember" u="1"/>
        <s v="Maret" u="1"/>
      </sharedItems>
    </cacheField>
    <cacheField name="Cat Design" numFmtId="0">
      <sharedItems count="16">
        <s v="LINE A"/>
        <s v="LINE B"/>
        <s v="LINE C"/>
        <s v="LINE D"/>
        <s v="LINE E"/>
        <s v="LINE F"/>
        <s v="LINE G"/>
        <s v="LINE H"/>
        <s v="BEDCOVER" u="1"/>
        <s v="COMFORTER" u="1"/>
        <s v="FITTED" u="1"/>
        <s v="KARPET" u="1"/>
        <s v="QUILTED" u="1"/>
        <s v="RBB" u="1"/>
        <s v="RUMBAI" u="1"/>
        <s v="SELIMUT" u="1"/>
      </sharedItems>
    </cacheField>
    <cacheField name="Target" numFmtId="0">
      <sharedItems containsSemiMixedTypes="0" containsString="0" containsNumber="1" containsInteger="1" minValue="0" maxValue="6311200"/>
    </cacheField>
    <cacheField name="Actual" numFmtId="0">
      <sharedItems containsSemiMixedTypes="0" containsString="0" containsNumber="1" containsInteger="1" minValue="0" maxValue="4647104"/>
    </cacheField>
    <cacheField name="%Capaian" numFmtId="165">
      <sharedItems containsSemiMixedTypes="0" containsString="0" containsNumber="1" minValue="0" maxValue="2.3898758043758042"/>
    </cacheField>
    <cacheField name="Hari Kerja (Weekend Sab Min)" numFmtId="1">
      <sharedItems containsMixedTypes="1" containsNumber="1" containsInteger="1" minValue="12" maxValue="23"/>
    </cacheField>
    <cacheField name="Jumlah Hari Kerja (Weekend Sab Min)" numFmtId="1">
      <sharedItems containsSemiMixedTypes="0" containsString="0" containsNumber="1" containsInteger="1" minValue="20" maxValue="23"/>
    </cacheField>
    <cacheField name="Hari Kerja (Weekend Minggu)" numFmtId="0">
      <sharedItems containsMixedTypes="1" containsNumber="1" containsInteger="1" minValue="14" maxValue="27"/>
    </cacheField>
    <cacheField name="Jumlah Hari Kerja (Weekend Minggu)" numFmtId="0">
      <sharedItems containsSemiMixedTypes="0" containsString="0" containsNumber="1" containsInteger="1" minValue="24" maxValue="27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d v="2025-01-01T00:00:00"/>
    <x v="0"/>
    <x v="0"/>
    <n v="1150000"/>
    <n v="761772"/>
    <n v="0.66241043478260875"/>
    <n v="23"/>
    <n v="23"/>
    <n v="27"/>
    <n v="27"/>
  </r>
  <r>
    <d v="2025-01-01T00:00:00"/>
    <x v="0"/>
    <x v="1"/>
    <n v="0"/>
    <n v="26824"/>
    <n v="0"/>
    <n v="23"/>
    <n v="23"/>
    <n v="27"/>
    <n v="27"/>
  </r>
  <r>
    <d v="2025-01-01T00:00:00"/>
    <x v="0"/>
    <x v="2"/>
    <n v="6311200"/>
    <n v="2505650"/>
    <n v="0.39701641526175685"/>
    <n v="23"/>
    <n v="23"/>
    <n v="27"/>
    <n v="27"/>
  </r>
  <r>
    <d v="2025-01-01T00:00:00"/>
    <x v="0"/>
    <x v="3"/>
    <n v="552230"/>
    <n v="107610"/>
    <n v="0.19486445864947577"/>
    <n v="23"/>
    <n v="23"/>
    <n v="27"/>
    <n v="27"/>
  </r>
  <r>
    <d v="2025-01-01T00:00:00"/>
    <x v="0"/>
    <x v="4"/>
    <n v="0"/>
    <n v="0"/>
    <n v="0"/>
    <n v="23"/>
    <n v="23"/>
    <n v="27"/>
    <n v="27"/>
  </r>
  <r>
    <d v="2025-01-01T00:00:00"/>
    <x v="0"/>
    <x v="5"/>
    <n v="230000"/>
    <n v="229768"/>
    <n v="0.99899130434782613"/>
    <n v="23"/>
    <n v="23"/>
    <n v="27"/>
    <n v="27"/>
  </r>
  <r>
    <d v="2025-01-01T00:00:00"/>
    <x v="0"/>
    <x v="6"/>
    <n v="714150"/>
    <n v="475090"/>
    <n v="0.66525239795561153"/>
    <n v="23"/>
    <n v="23"/>
    <n v="27"/>
    <n v="27"/>
  </r>
  <r>
    <d v="2025-01-01T00:00:00"/>
    <x v="0"/>
    <x v="7"/>
    <n v="303600"/>
    <n v="28134"/>
    <n v="9.2667984189723315E-2"/>
    <n v="23"/>
    <n v="23"/>
    <n v="27"/>
    <n v="27"/>
  </r>
  <r>
    <d v="2025-02-01T00:00:00"/>
    <x v="1"/>
    <x v="0"/>
    <n v="789600"/>
    <n v="1261150"/>
    <n v="1.5972011144883485"/>
    <n v="20"/>
    <n v="20"/>
    <n v="24"/>
    <n v="24"/>
  </r>
  <r>
    <d v="2025-02-01T00:00:00"/>
    <x v="1"/>
    <x v="1"/>
    <n v="0"/>
    <n v="0"/>
    <n v="0"/>
    <n v="20"/>
    <n v="20"/>
    <n v="24"/>
    <n v="24"/>
  </r>
  <r>
    <d v="2025-02-01T00:00:00"/>
    <x v="1"/>
    <x v="2"/>
    <n v="4224000"/>
    <n v="3963314"/>
    <n v="0.93828456439393937"/>
    <n v="20"/>
    <n v="20"/>
    <n v="24"/>
    <n v="24"/>
  </r>
  <r>
    <d v="2025-02-01T00:00:00"/>
    <x v="1"/>
    <x v="3"/>
    <n v="529200"/>
    <n v="217930"/>
    <n v="0.41181027966742251"/>
    <n v="20"/>
    <n v="20"/>
    <n v="24"/>
    <n v="24"/>
  </r>
  <r>
    <d v="2025-02-01T00:00:00"/>
    <x v="1"/>
    <x v="4"/>
    <n v="0"/>
    <n v="602"/>
    <n v="0"/>
    <n v="20"/>
    <n v="20"/>
    <n v="24"/>
    <n v="24"/>
  </r>
  <r>
    <d v="2025-02-01T00:00:00"/>
    <x v="1"/>
    <x v="5"/>
    <n v="238000"/>
    <n v="244582"/>
    <n v="1.0276554621848739"/>
    <n v="20"/>
    <n v="20"/>
    <n v="24"/>
    <n v="24"/>
  </r>
  <r>
    <d v="2025-02-01T00:00:00"/>
    <x v="1"/>
    <x v="6"/>
    <n v="286700"/>
    <n v="424600"/>
    <n v="1.4809905824904082"/>
    <n v="20"/>
    <n v="20"/>
    <n v="24"/>
    <n v="24"/>
  </r>
  <r>
    <d v="2025-02-01T00:00:00"/>
    <x v="1"/>
    <x v="7"/>
    <n v="564000"/>
    <n v="217944"/>
    <n v="0.38642553191489359"/>
    <n v="20"/>
    <n v="20"/>
    <n v="24"/>
    <n v="24"/>
  </r>
  <r>
    <d v="2025-03-01T00:00:00"/>
    <x v="2"/>
    <x v="0"/>
    <n v="1474200"/>
    <n v="1421784"/>
    <n v="0.96444444444444444"/>
    <n v="21"/>
    <n v="21"/>
    <n v="26"/>
    <n v="26"/>
  </r>
  <r>
    <d v="2025-03-01T00:00:00"/>
    <x v="2"/>
    <x v="1"/>
    <n v="0"/>
    <n v="19533"/>
    <n v="0"/>
    <n v="21"/>
    <n v="21"/>
    <n v="26"/>
    <n v="26"/>
  </r>
  <r>
    <d v="2025-03-01T00:00:00"/>
    <x v="2"/>
    <x v="2"/>
    <n v="5747700"/>
    <n v="4647104"/>
    <n v="0.80851540616246498"/>
    <n v="21"/>
    <n v="21"/>
    <n v="26"/>
    <n v="26"/>
  </r>
  <r>
    <d v="2025-03-01T00:00:00"/>
    <x v="2"/>
    <x v="3"/>
    <n v="576240"/>
    <n v="245680"/>
    <n v="0.4263501318894905"/>
    <n v="21"/>
    <n v="21"/>
    <n v="26"/>
    <n v="26"/>
  </r>
  <r>
    <d v="2025-03-01T00:00:00"/>
    <x v="2"/>
    <x v="4"/>
    <n v="58800"/>
    <n v="0"/>
    <n v="0"/>
    <n v="21"/>
    <n v="21"/>
    <n v="26"/>
    <n v="26"/>
  </r>
  <r>
    <d v="2025-03-01T00:00:00"/>
    <x v="2"/>
    <x v="5"/>
    <n v="245700"/>
    <n v="275050"/>
    <n v="1.1194546194546195"/>
    <n v="21"/>
    <n v="21"/>
    <n v="26"/>
    <n v="26"/>
  </r>
  <r>
    <d v="2025-03-01T00:00:00"/>
    <x v="2"/>
    <x v="6"/>
    <n v="476280"/>
    <n v="396236"/>
    <n v="0.83193919543125894"/>
    <n v="21"/>
    <n v="21"/>
    <n v="26"/>
    <n v="26"/>
  </r>
  <r>
    <d v="2025-03-01T00:00:00"/>
    <x v="2"/>
    <x v="7"/>
    <n v="478800"/>
    <n v="656370"/>
    <n v="1.3708646616541353"/>
    <n v="21"/>
    <n v="21"/>
    <n v="26"/>
    <n v="26"/>
  </r>
  <r>
    <d v="2025-04-01T00:00:00"/>
    <x v="3"/>
    <x v="0"/>
    <n v="1452000"/>
    <n v="1121848"/>
    <n v="0.77262258953168039"/>
    <n v="22"/>
    <n v="22"/>
    <n v="26"/>
    <n v="26"/>
  </r>
  <r>
    <d v="2025-04-01T00:00:00"/>
    <x v="3"/>
    <x v="1"/>
    <n v="0"/>
    <n v="0"/>
    <n v="0"/>
    <n v="22"/>
    <n v="22"/>
    <n v="26"/>
    <n v="26"/>
  </r>
  <r>
    <d v="2025-04-01T00:00:00"/>
    <x v="3"/>
    <x v="2"/>
    <n v="4664000"/>
    <n v="4237104"/>
    <n v="0.90846998284734137"/>
    <n v="22"/>
    <n v="22"/>
    <n v="26"/>
    <n v="26"/>
  </r>
  <r>
    <d v="2025-04-01T00:00:00"/>
    <x v="3"/>
    <x v="3"/>
    <n v="409640"/>
    <n v="274390"/>
    <n v="0.66983204765159654"/>
    <n v="22"/>
    <n v="22"/>
    <n v="26"/>
    <n v="26"/>
  </r>
  <r>
    <d v="2025-04-01T00:00:00"/>
    <x v="3"/>
    <x v="4"/>
    <n v="55000"/>
    <n v="16016"/>
    <n v="0.29120000000000001"/>
    <n v="22"/>
    <n v="22"/>
    <n v="26"/>
    <n v="26"/>
  </r>
  <r>
    <d v="2025-04-01T00:00:00"/>
    <x v="3"/>
    <x v="5"/>
    <n v="300300"/>
    <n v="288680"/>
    <n v="0.96130536130536126"/>
    <n v="22"/>
    <n v="22"/>
    <n v="26"/>
    <n v="26"/>
  </r>
  <r>
    <d v="2025-04-01T00:00:00"/>
    <x v="3"/>
    <x v="6"/>
    <n v="495000"/>
    <n v="370668"/>
    <n v="0.74882424242424239"/>
    <n v="22"/>
    <n v="22"/>
    <n v="26"/>
    <n v="26"/>
  </r>
  <r>
    <d v="2025-04-01T00:00:00"/>
    <x v="3"/>
    <x v="7"/>
    <n v="501600"/>
    <n v="318682"/>
    <n v="0.63533094098883569"/>
    <n v="22"/>
    <n v="22"/>
    <n v="26"/>
    <n v="26"/>
  </r>
  <r>
    <d v="2025-05-01T00:00:00"/>
    <x v="4"/>
    <x v="0"/>
    <n v="1452000"/>
    <n v="726791"/>
    <n v="0.50054476584022034"/>
    <n v="22"/>
    <n v="22"/>
    <n v="27"/>
    <n v="27"/>
  </r>
  <r>
    <d v="2025-05-01T00:00:00"/>
    <x v="4"/>
    <x v="1"/>
    <n v="0"/>
    <n v="14200"/>
    <n v="0"/>
    <n v="22"/>
    <n v="22"/>
    <n v="27"/>
    <n v="27"/>
  </r>
  <r>
    <d v="2025-05-01T00:00:00"/>
    <x v="4"/>
    <x v="2"/>
    <n v="5830000"/>
    <n v="3022770"/>
    <n v="0.51848542024013722"/>
    <n v="22"/>
    <n v="22"/>
    <n v="27"/>
    <n v="27"/>
  </r>
  <r>
    <d v="2025-05-01T00:00:00"/>
    <x v="4"/>
    <x v="3"/>
    <n v="398860"/>
    <n v="319580"/>
    <n v="0.80123351551922983"/>
    <n v="22"/>
    <n v="22"/>
    <n v="27"/>
    <n v="27"/>
  </r>
  <r>
    <d v="2025-05-01T00:00:00"/>
    <x v="4"/>
    <x v="4"/>
    <n v="61600"/>
    <n v="28896"/>
    <n v="0.46909090909090911"/>
    <n v="22"/>
    <n v="22"/>
    <n v="27"/>
    <n v="27"/>
  </r>
  <r>
    <d v="2025-05-01T00:00:00"/>
    <x v="4"/>
    <x v="5"/>
    <n v="524700"/>
    <n v="277389"/>
    <n v="0.52866209262435682"/>
    <n v="22"/>
    <n v="22"/>
    <n v="27"/>
    <n v="27"/>
  </r>
  <r>
    <d v="2025-05-01T00:00:00"/>
    <x v="4"/>
    <x v="6"/>
    <n v="476190"/>
    <n v="665000"/>
    <n v="1.3965013965013966"/>
    <n v="22"/>
    <n v="22"/>
    <n v="27"/>
    <n v="27"/>
  </r>
  <r>
    <d v="2025-05-01T00:00:00"/>
    <x v="4"/>
    <x v="7"/>
    <n v="514800"/>
    <n v="548458"/>
    <n v="1.0653807303807303"/>
    <n v="22"/>
    <n v="22"/>
    <n v="27"/>
    <n v="27"/>
  </r>
  <r>
    <d v="2025-06-01T00:00:00"/>
    <x v="5"/>
    <x v="0"/>
    <n v="803250"/>
    <n v="609588"/>
    <n v="0.75890196078431371"/>
    <n v="21"/>
    <n v="21"/>
    <n v="25"/>
    <n v="25"/>
  </r>
  <r>
    <d v="2025-06-01T00:00:00"/>
    <x v="5"/>
    <x v="1"/>
    <n v="0"/>
    <n v="0"/>
    <n v="0"/>
    <n v="21"/>
    <n v="21"/>
    <n v="25"/>
    <n v="25"/>
  </r>
  <r>
    <d v="2025-06-01T00:00:00"/>
    <x v="5"/>
    <x v="2"/>
    <n v="1554000"/>
    <n v="3713867"/>
    <n v="2.3898758043758042"/>
    <n v="21"/>
    <n v="21"/>
    <n v="25"/>
    <n v="25"/>
  </r>
  <r>
    <d v="2025-06-01T00:00:00"/>
    <x v="5"/>
    <x v="3"/>
    <n v="576240"/>
    <n v="540447"/>
    <n v="0.93788525614327367"/>
    <n v="21"/>
    <n v="21"/>
    <n v="25"/>
    <n v="25"/>
  </r>
  <r>
    <d v="2025-06-01T00:00:00"/>
    <x v="5"/>
    <x v="4"/>
    <n v="90300"/>
    <n v="45000"/>
    <n v="0.49833887043189368"/>
    <n v="21"/>
    <n v="21"/>
    <n v="25"/>
    <n v="25"/>
  </r>
  <r>
    <d v="2025-06-01T00:00:00"/>
    <x v="5"/>
    <x v="5"/>
    <n v="0"/>
    <n v="248835"/>
    <n v="0"/>
    <n v="21"/>
    <n v="21"/>
    <n v="25"/>
    <n v="25"/>
  </r>
  <r>
    <d v="2025-06-01T00:00:00"/>
    <x v="5"/>
    <x v="6"/>
    <n v="339150"/>
    <n v="389388"/>
    <n v="1.1481291463954002"/>
    <n v="21"/>
    <n v="21"/>
    <n v="25"/>
    <n v="25"/>
  </r>
  <r>
    <d v="2025-06-01T00:00:00"/>
    <x v="5"/>
    <x v="7"/>
    <n v="705600"/>
    <n v="567056"/>
    <n v="0.80365079365079362"/>
    <n v="21"/>
    <n v="21"/>
    <n v="25"/>
    <n v="25"/>
  </r>
  <r>
    <d v="2025-07-01T00:00:00"/>
    <x v="6"/>
    <x v="0"/>
    <n v="1044900"/>
    <n v="596475"/>
    <n v="0.57084409991386731"/>
    <n v="23"/>
    <n v="23"/>
    <n v="27"/>
    <n v="27"/>
  </r>
  <r>
    <d v="2025-07-01T00:00:00"/>
    <x v="6"/>
    <x v="1"/>
    <n v="0"/>
    <n v="0"/>
    <n v="0"/>
    <n v="23"/>
    <n v="23"/>
    <n v="27"/>
    <n v="27"/>
  </r>
  <r>
    <d v="2025-07-01T00:00:00"/>
    <x v="6"/>
    <x v="2"/>
    <n v="5309640"/>
    <n v="1608390"/>
    <n v="0.30291884195538682"/>
    <n v="23"/>
    <n v="23"/>
    <n v="27"/>
    <n v="27"/>
  </r>
  <r>
    <d v="2025-07-01T00:00:00"/>
    <x v="6"/>
    <x v="3"/>
    <n v="606816"/>
    <n v="114640"/>
    <n v="0.18892052945209092"/>
    <n v="23"/>
    <n v="23"/>
    <n v="27"/>
    <n v="27"/>
  </r>
  <r>
    <d v="2025-07-01T00:00:00"/>
    <x v="6"/>
    <x v="4"/>
    <n v="118680"/>
    <n v="5780"/>
    <n v="4.8702392989551736E-2"/>
    <n v="23"/>
    <n v="23"/>
    <n v="27"/>
    <n v="27"/>
  </r>
  <r>
    <d v="2025-07-01T00:00:00"/>
    <x v="6"/>
    <x v="5"/>
    <n v="303150"/>
    <n v="100932"/>
    <n v="0.33294408708560119"/>
    <n v="23"/>
    <n v="23"/>
    <n v="27"/>
    <n v="27"/>
  </r>
  <r>
    <d v="2025-07-01T00:00:00"/>
    <x v="6"/>
    <x v="6"/>
    <n v="813603"/>
    <n v="423450"/>
    <n v="0.52046268265972473"/>
    <n v="23"/>
    <n v="23"/>
    <n v="27"/>
    <n v="27"/>
  </r>
  <r>
    <d v="2025-07-01T00:00:00"/>
    <x v="6"/>
    <x v="7"/>
    <n v="681120"/>
    <n v="442785"/>
    <n v="0.65008368569415076"/>
    <n v="23"/>
    <n v="23"/>
    <n v="27"/>
    <n v="27"/>
  </r>
  <r>
    <d v="2025-08-01T00:00:00"/>
    <x v="7"/>
    <x v="0"/>
    <n v="0"/>
    <n v="0"/>
    <n v="0"/>
    <n v="21"/>
    <n v="21"/>
    <n v="26"/>
    <n v="26"/>
  </r>
  <r>
    <d v="2025-08-01T00:00:00"/>
    <x v="7"/>
    <x v="1"/>
    <n v="0"/>
    <n v="0"/>
    <n v="0"/>
    <n v="21"/>
    <n v="21"/>
    <n v="26"/>
    <n v="26"/>
  </r>
  <r>
    <d v="2025-08-01T00:00:00"/>
    <x v="7"/>
    <x v="2"/>
    <n v="0"/>
    <n v="0"/>
    <n v="0"/>
    <n v="21"/>
    <n v="21"/>
    <n v="26"/>
    <n v="26"/>
  </r>
  <r>
    <d v="2025-08-01T00:00:00"/>
    <x v="7"/>
    <x v="3"/>
    <n v="0"/>
    <n v="0"/>
    <n v="0"/>
    <n v="21"/>
    <n v="21"/>
    <n v="26"/>
    <n v="26"/>
  </r>
  <r>
    <d v="2025-08-01T00:00:00"/>
    <x v="7"/>
    <x v="4"/>
    <n v="0"/>
    <n v="0"/>
    <n v="0"/>
    <n v="21"/>
    <n v="21"/>
    <n v="26"/>
    <n v="26"/>
  </r>
  <r>
    <d v="2025-08-01T00:00:00"/>
    <x v="7"/>
    <x v="5"/>
    <n v="0"/>
    <n v="0"/>
    <n v="0"/>
    <n v="21"/>
    <n v="21"/>
    <n v="26"/>
    <n v="26"/>
  </r>
  <r>
    <d v="2025-08-01T00:00:00"/>
    <x v="7"/>
    <x v="6"/>
    <n v="0"/>
    <n v="0"/>
    <n v="0"/>
    <n v="21"/>
    <n v="21"/>
    <n v="26"/>
    <n v="26"/>
  </r>
  <r>
    <d v="2025-08-01T00:00:00"/>
    <x v="7"/>
    <x v="7"/>
    <n v="0"/>
    <n v="0"/>
    <n v="0"/>
    <n v="21"/>
    <n v="21"/>
    <n v="26"/>
    <n v="26"/>
  </r>
  <r>
    <d v="2025-09-01T00:00:00"/>
    <x v="8"/>
    <x v="0"/>
    <n v="0"/>
    <n v="0"/>
    <n v="0"/>
    <n v="12"/>
    <n v="22"/>
    <n v="14"/>
    <n v="26"/>
  </r>
  <r>
    <d v="2025-09-01T00:00:00"/>
    <x v="8"/>
    <x v="1"/>
    <n v="0"/>
    <n v="0"/>
    <n v="0"/>
    <n v="12"/>
    <n v="22"/>
    <n v="14"/>
    <n v="26"/>
  </r>
  <r>
    <d v="2025-09-01T00:00:00"/>
    <x v="8"/>
    <x v="2"/>
    <n v="0"/>
    <n v="0"/>
    <n v="0"/>
    <n v="12"/>
    <n v="22"/>
    <n v="14"/>
    <n v="26"/>
  </r>
  <r>
    <d v="2025-09-01T00:00:00"/>
    <x v="8"/>
    <x v="3"/>
    <n v="0"/>
    <n v="0"/>
    <n v="0"/>
    <n v="12"/>
    <n v="22"/>
    <n v="14"/>
    <n v="26"/>
  </r>
  <r>
    <d v="2025-09-01T00:00:00"/>
    <x v="8"/>
    <x v="4"/>
    <n v="0"/>
    <n v="0"/>
    <n v="0"/>
    <n v="12"/>
    <n v="22"/>
    <n v="14"/>
    <n v="26"/>
  </r>
  <r>
    <d v="2025-09-01T00:00:00"/>
    <x v="8"/>
    <x v="5"/>
    <n v="0"/>
    <n v="0"/>
    <n v="0"/>
    <n v="12"/>
    <n v="22"/>
    <n v="14"/>
    <n v="26"/>
  </r>
  <r>
    <d v="2025-09-01T00:00:00"/>
    <x v="8"/>
    <x v="6"/>
    <n v="0"/>
    <n v="0"/>
    <n v="0"/>
    <n v="12"/>
    <n v="22"/>
    <n v="14"/>
    <n v="26"/>
  </r>
  <r>
    <d v="2025-09-01T00:00:00"/>
    <x v="8"/>
    <x v="7"/>
    <n v="0"/>
    <n v="0"/>
    <n v="0"/>
    <n v="12"/>
    <n v="22"/>
    <n v="14"/>
    <n v="26"/>
  </r>
  <r>
    <d v="2025-10-01T00:00:00"/>
    <x v="9"/>
    <x v="0"/>
    <n v="0"/>
    <n v="0"/>
    <n v="0"/>
    <s v=""/>
    <n v="23"/>
    <s v=""/>
    <n v="27"/>
  </r>
  <r>
    <d v="2025-10-01T00:00:00"/>
    <x v="9"/>
    <x v="1"/>
    <n v="0"/>
    <n v="0"/>
    <n v="0"/>
    <s v=""/>
    <n v="23"/>
    <s v=""/>
    <n v="27"/>
  </r>
  <r>
    <d v="2025-10-01T00:00:00"/>
    <x v="9"/>
    <x v="2"/>
    <n v="0"/>
    <n v="0"/>
    <n v="0"/>
    <s v=""/>
    <n v="23"/>
    <s v=""/>
    <n v="27"/>
  </r>
  <r>
    <d v="2025-10-01T00:00:00"/>
    <x v="9"/>
    <x v="3"/>
    <n v="0"/>
    <n v="0"/>
    <n v="0"/>
    <s v=""/>
    <n v="23"/>
    <s v=""/>
    <n v="27"/>
  </r>
  <r>
    <d v="2025-10-01T00:00:00"/>
    <x v="9"/>
    <x v="4"/>
    <n v="0"/>
    <n v="0"/>
    <n v="0"/>
    <s v=""/>
    <n v="23"/>
    <s v=""/>
    <n v="27"/>
  </r>
  <r>
    <d v="2025-10-01T00:00:00"/>
    <x v="9"/>
    <x v="5"/>
    <n v="0"/>
    <n v="0"/>
    <n v="0"/>
    <s v=""/>
    <n v="23"/>
    <s v=""/>
    <n v="27"/>
  </r>
  <r>
    <d v="2025-10-01T00:00:00"/>
    <x v="9"/>
    <x v="6"/>
    <n v="0"/>
    <n v="0"/>
    <n v="0"/>
    <s v=""/>
    <n v="23"/>
    <s v=""/>
    <n v="27"/>
  </r>
  <r>
    <d v="2025-10-01T00:00:00"/>
    <x v="9"/>
    <x v="7"/>
    <n v="0"/>
    <n v="0"/>
    <n v="0"/>
    <s v=""/>
    <n v="23"/>
    <s v=""/>
    <n v="27"/>
  </r>
  <r>
    <d v="2025-11-01T00:00:00"/>
    <x v="10"/>
    <x v="0"/>
    <n v="0"/>
    <n v="0"/>
    <n v="0"/>
    <s v=""/>
    <n v="20"/>
    <s v=""/>
    <n v="25"/>
  </r>
  <r>
    <d v="2025-11-01T00:00:00"/>
    <x v="10"/>
    <x v="1"/>
    <n v="0"/>
    <n v="0"/>
    <n v="0"/>
    <s v=""/>
    <n v="20"/>
    <s v=""/>
    <n v="25"/>
  </r>
  <r>
    <d v="2025-11-01T00:00:00"/>
    <x v="10"/>
    <x v="2"/>
    <n v="0"/>
    <n v="0"/>
    <n v="0"/>
    <s v=""/>
    <n v="20"/>
    <s v=""/>
    <n v="25"/>
  </r>
  <r>
    <d v="2025-11-01T00:00:00"/>
    <x v="10"/>
    <x v="3"/>
    <n v="0"/>
    <n v="0"/>
    <n v="0"/>
    <s v=""/>
    <n v="20"/>
    <s v=""/>
    <n v="25"/>
  </r>
  <r>
    <d v="2025-11-01T00:00:00"/>
    <x v="10"/>
    <x v="4"/>
    <n v="0"/>
    <n v="0"/>
    <n v="0"/>
    <s v=""/>
    <n v="20"/>
    <s v=""/>
    <n v="25"/>
  </r>
  <r>
    <d v="2025-11-01T00:00:00"/>
    <x v="10"/>
    <x v="5"/>
    <n v="0"/>
    <n v="0"/>
    <n v="0"/>
    <s v=""/>
    <n v="20"/>
    <s v=""/>
    <n v="25"/>
  </r>
  <r>
    <d v="2025-11-01T00:00:00"/>
    <x v="10"/>
    <x v="6"/>
    <n v="0"/>
    <n v="0"/>
    <n v="0"/>
    <s v=""/>
    <n v="20"/>
    <s v=""/>
    <n v="25"/>
  </r>
  <r>
    <d v="2025-11-01T00:00:00"/>
    <x v="10"/>
    <x v="7"/>
    <n v="0"/>
    <n v="0"/>
    <n v="0"/>
    <s v=""/>
    <n v="20"/>
    <s v=""/>
    <n v="25"/>
  </r>
  <r>
    <d v="2025-12-01T00:00:00"/>
    <x v="11"/>
    <x v="0"/>
    <n v="0"/>
    <n v="0"/>
    <n v="0"/>
    <s v=""/>
    <n v="23"/>
    <s v=""/>
    <n v="27"/>
  </r>
  <r>
    <d v="2025-12-01T00:00:00"/>
    <x v="11"/>
    <x v="1"/>
    <n v="0"/>
    <n v="0"/>
    <n v="0"/>
    <s v=""/>
    <n v="23"/>
    <s v=""/>
    <n v="27"/>
  </r>
  <r>
    <d v="2025-12-01T00:00:00"/>
    <x v="11"/>
    <x v="2"/>
    <n v="0"/>
    <n v="0"/>
    <n v="0"/>
    <s v=""/>
    <n v="23"/>
    <s v=""/>
    <n v="27"/>
  </r>
  <r>
    <d v="2025-12-01T00:00:00"/>
    <x v="11"/>
    <x v="3"/>
    <n v="0"/>
    <n v="0"/>
    <n v="0"/>
    <s v=""/>
    <n v="23"/>
    <s v=""/>
    <n v="27"/>
  </r>
  <r>
    <d v="2025-12-01T00:00:00"/>
    <x v="11"/>
    <x v="4"/>
    <n v="0"/>
    <n v="0"/>
    <n v="0"/>
    <s v=""/>
    <n v="23"/>
    <s v=""/>
    <n v="27"/>
  </r>
  <r>
    <d v="2025-12-01T00:00:00"/>
    <x v="11"/>
    <x v="5"/>
    <n v="0"/>
    <n v="0"/>
    <n v="0"/>
    <s v=""/>
    <n v="23"/>
    <s v=""/>
    <n v="27"/>
  </r>
  <r>
    <d v="2025-12-01T00:00:00"/>
    <x v="11"/>
    <x v="6"/>
    <n v="0"/>
    <n v="0"/>
    <n v="0"/>
    <s v=""/>
    <n v="23"/>
    <s v=""/>
    <n v="27"/>
  </r>
  <r>
    <d v="2025-12-01T00:00:00"/>
    <x v="11"/>
    <x v="7"/>
    <n v="0"/>
    <n v="0"/>
    <n v="0"/>
    <s v=""/>
    <n v="23"/>
    <s v=""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7000000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A13:E26" firstHeaderRow="0" firstDataRow="1" firstDataCol="1"/>
  <pivotFields count="10">
    <pivotField numFmtId="14" showAll="0"/>
    <pivotField axis="axisRow" showAll="0">
      <items count="25">
        <item m="1" x="19"/>
        <item m="1" x="13"/>
        <item m="1" x="23"/>
        <item m="1" x="18"/>
        <item m="1" x="20"/>
        <item m="1" x="21"/>
        <item m="1" x="17"/>
        <item m="1" x="12"/>
        <item m="1" x="14"/>
        <item m="1" x="16"/>
        <item m="1" x="15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  <pivotField dataField="1" showAll="0"/>
    <pivotField numFmtId="165" showAll="0"/>
    <pivotField dataField="1" showAll="0" defaultSubtotal="0"/>
    <pivotField dataField="1" numFmtId="1" showAll="0" defaultSubtotal="0"/>
    <pivotField showAll="0" defaultSubtotal="0"/>
    <pivotField showAll="0" defaultSubtotal="0"/>
  </pivotFields>
  <rowFields count="1">
    <field x="1"/>
  </rowFields>
  <rowItems count="13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Actual" fld="4" baseField="0" baseItem="1"/>
    <dataField name="Sum of Target" fld="3" baseField="0" baseItem="0" numFmtId="1"/>
    <dataField name="Max of Hari Kerja (Weekend Sab Min)" fld="6" subtotal="max" baseField="1" baseItem="6"/>
    <dataField name="Max of Jumlah Hari Kerja (Weekend Sab Min)" fld="7" subtotal="max" baseField="1" baseItem="6"/>
  </dataFields>
  <formats count="1">
    <format dxfId="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6000000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A32:E45" firstHeaderRow="0" firstDataRow="1" firstDataCol="1"/>
  <pivotFields count="10">
    <pivotField numFmtId="14" showAll="0"/>
    <pivotField axis="axisRow" showAll="0">
      <items count="25">
        <item m="1" x="19"/>
        <item m="1" x="13"/>
        <item m="1" x="23"/>
        <item m="1" x="18"/>
        <item m="1" x="20"/>
        <item m="1" x="21"/>
        <item m="1" x="17"/>
        <item m="1" x="12"/>
        <item m="1" x="14"/>
        <item m="1" x="16"/>
        <item m="1" x="15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  <pivotField dataField="1" showAll="0"/>
    <pivotField numFmtId="165" showAll="0"/>
    <pivotField showAll="0" defaultSubtotal="0"/>
    <pivotField numFmtId="1" showAll="0" defaultSubtotal="0"/>
    <pivotField dataField="1" showAll="0" defaultSubtotal="0"/>
    <pivotField dataField="1" showAll="0" defaultSubtotal="0"/>
  </pivotFields>
  <rowFields count="1">
    <field x="1"/>
  </rowFields>
  <rowItems count="13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Actual" fld="4" baseField="0" baseItem="1"/>
    <dataField name="Sum of Target" fld="3" baseField="0" baseItem="0" numFmtId="1"/>
    <dataField name="Max of Hari Kerja (Weekend Minggu)" fld="8" subtotal="max" baseField="1" baseItem="0"/>
    <dataField name="Max of Jumlah Hari Kerja (Weekend Minggu)" fld="9" subtotal="max" baseField="1" baseItem="0"/>
  </dataFields>
  <formats count="1">
    <format dxfId="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5000000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A3:B4" firstHeaderRow="0" firstDataRow="1" firstDataCol="0"/>
  <pivotFields count="10">
    <pivotField numFmtId="14" showAll="0"/>
    <pivotField showAll="0"/>
    <pivotField showAll="0"/>
    <pivotField dataField="1" showAll="0"/>
    <pivotField dataField="1" showAll="0"/>
    <pivotField numFmtId="165" showAll="0"/>
    <pivotField showAll="0" defaultSubtotal="0"/>
    <pivotField numFmtId="1" showAll="0" defaultSubtotal="0"/>
    <pivotField showAll="0" defaultSubtotal="0"/>
    <pivotField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um of Actual" fld="4" baseField="0" baseItem="0"/>
    <dataField name="Sum of Targe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8000000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B17:F27" firstHeaderRow="0" firstDataRow="1" firstDataCol="1"/>
  <pivotFields count="10">
    <pivotField numFmtId="14" showAll="0"/>
    <pivotField axis="axisRow" showAll="0">
      <items count="25">
        <item m="1" x="19"/>
        <item m="1" x="13"/>
        <item m="1" x="23"/>
        <item m="1" x="18"/>
        <item m="1" x="20"/>
        <item m="1" x="21"/>
        <item m="1" x="17"/>
        <item m="1" x="12"/>
        <item m="1" x="14"/>
        <item m="1" x="16"/>
        <item m="1" x="15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17">
        <item m="1" x="8"/>
        <item m="1" x="9"/>
        <item m="1" x="10"/>
        <item m="1" x="11"/>
        <item m="1" x="12"/>
        <item m="1" x="13"/>
        <item m="1" x="14"/>
        <item m="1" x="15"/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dataField="1" showAll="0"/>
    <pivotField numFmtId="165" showAll="0"/>
    <pivotField showAll="0" defaultSubtotal="0"/>
    <pivotField numFmtId="1" showAll="0" defaultSubtotal="0"/>
    <pivotField dataField="1" showAll="0" defaultSubtotal="0"/>
    <pivotField dataField="1" showAll="0" defaultSubtotal="0"/>
  </pivotFields>
  <rowFields count="2">
    <field x="1"/>
    <field x="2"/>
  </rowFields>
  <rowItems count="10">
    <i>
      <x v="18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Actual" fld="4" baseField="0" baseItem="1"/>
    <dataField name="Sum of Target" fld="3" baseField="0" baseItem="0" numFmtId="1"/>
    <dataField name="Max of Hari Kerja (Weekend Minggu)" fld="8" subtotal="max" baseField="1" baseItem="0"/>
    <dataField name="Max of Jumlah Hari Kerja (Weekend Minggu)" fld="9" subtotal="max" baseField="1" baseItem="0"/>
  </dataFields>
  <formats count="1">
    <format dxfId="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filters count="2">
    <filter fld="0" type="dateOlderThanOrEqual" evalOrder="-1" id="2">
      <autoFilter ref="A1">
        <filterColumn colId="0">
          <customFilters>
            <customFilter operator="lessThanOrEqual" val="45863"/>
          </customFilters>
        </filterColumn>
      </autoFilter>
    </filter>
    <filter fld="1" type="captionEqual" evalOrder="-1" id="5" stringValue1="7">
      <autoFilter ref="A1">
        <filterColumn colId="0">
          <filters>
            <filter val="7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9000000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B2:D11" firstHeaderRow="0" firstDataRow="1" firstDataCol="1"/>
  <pivotFields count="10">
    <pivotField numFmtId="14" showAll="0"/>
    <pivotField showAll="0"/>
    <pivotField axis="axisRow" showAll="0">
      <items count="17">
        <item m="1" x="8"/>
        <item m="1" x="9"/>
        <item m="1" x="10"/>
        <item m="1" x="11"/>
        <item m="1" x="12"/>
        <item m="1" x="13"/>
        <item m="1" x="14"/>
        <item m="1" x="15"/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dataField="1" showAll="0"/>
    <pivotField numFmtId="165" showAll="0"/>
    <pivotField showAll="0" defaultSubtotal="0"/>
    <pivotField numFmtId="1" showAll="0" defaultSubtotal="0"/>
    <pivotField showAll="0" defaultSubtotal="0"/>
    <pivotField showAll="0" defaultSubtotal="0"/>
  </pivotFields>
  <rowFields count="1">
    <field x="2"/>
  </rowFields>
  <rowItems count="9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ual" fld="4" baseField="0" baseItem="1"/>
    <dataField name="Sum of Target" fld="3" baseField="0" baseItem="0" numFmtId="1"/>
  </dataFields>
  <formats count="3">
    <format dxfId="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">
      <pivotArea grandRow="1" outline="0" collapsedLevelsAreSubtotals="1" fieldPosition="0"/>
    </format>
    <format dxfId="18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A000000}" name="PivotTable1" cacheId="2" applyNumberFormats="0" applyBorderFormats="0" applyFontFormats="0" applyPatternFormats="0" applyAlignmentFormats="0" applyWidthHeightFormats="1" dataCaption="Values" updatedVersion="8" minRefreshableVersion="3" itemPrintTitles="1" createdVersion="5" indent="0" outline="1" outlineData="1" multipleFieldFilters="0">
  <location ref="B2:J12" firstHeaderRow="1" firstDataRow="2" firstDataCol="1"/>
  <pivotFields count="10">
    <pivotField numFmtId="14" showAll="0"/>
    <pivotField axis="axisCol" showAll="0">
      <items count="25">
        <item m="1" x="19"/>
        <item m="1" x="13"/>
        <item m="1" x="23"/>
        <item m="1" x="18"/>
        <item m="1" x="20"/>
        <item m="1" x="21"/>
        <item m="1" x="17"/>
        <item m="1" x="12"/>
        <item m="1" x="14"/>
        <item m="1" x="16"/>
        <item m="1" x="15"/>
        <item m="1" x="22"/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t="default"/>
      </items>
    </pivotField>
    <pivotField axis="axisRow" showAll="0">
      <items count="17">
        <item m="1" x="8"/>
        <item m="1" x="9"/>
        <item m="1" x="10"/>
        <item m="1" x="11"/>
        <item m="1" x="12"/>
        <item m="1" x="13"/>
        <item m="1" x="14"/>
        <item m="1" x="15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dataField="1" showAll="0"/>
    <pivotField numFmtId="165" showAll="0"/>
    <pivotField showAll="0" defaultSubtotal="0"/>
    <pivotField numFmtId="1" showAll="0" defaultSubtotal="0"/>
    <pivotField showAll="0" defaultSubtotal="0"/>
    <pivotField showAll="0" defaultSubtotal="0"/>
  </pivotFields>
  <rowFields count="1">
    <field x="2"/>
  </rowFields>
  <rowItems count="9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1"/>
  </colFields>
  <colItems count="8"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colItems>
  <dataFields count="1">
    <dataField name="Sum of Actual" fld="4" baseField="0" baseItem="0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2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1" count="0"/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B000000}" name="PivotTable2" cacheId="2" applyNumberFormats="0" applyBorderFormats="0" applyFontFormats="0" applyPatternFormats="0" applyAlignmentFormats="0" applyWidthHeightFormats="1" dataCaption="Values" updatedVersion="8" minRefreshableVersion="3" itemPrintTitles="1" createdVersion="5" indent="0" outline="1" outlineData="1" multipleFieldFilters="0">
  <location ref="B15:J25" firstHeaderRow="1" firstDataRow="2" firstDataCol="1"/>
  <pivotFields count="10">
    <pivotField numFmtId="14" showAll="0"/>
    <pivotField axis="axisCol" showAll="0">
      <items count="25">
        <item m="1" x="19"/>
        <item m="1" x="13"/>
        <item m="1" x="23"/>
        <item m="1" x="18"/>
        <item m="1" x="20"/>
        <item m="1" x="21"/>
        <item m="1" x="17"/>
        <item m="1" x="12"/>
        <item m="1" x="14"/>
        <item m="1" x="16"/>
        <item m="1" x="15"/>
        <item m="1" x="22"/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t="default"/>
      </items>
    </pivotField>
    <pivotField axis="axisRow" showAll="0">
      <items count="17">
        <item m="1" x="8"/>
        <item m="1" x="9"/>
        <item m="1" x="10"/>
        <item m="1" x="11"/>
        <item m="1" x="12"/>
        <item m="1" x="13"/>
        <item m="1" x="14"/>
        <item m="1" x="15"/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showAll="0"/>
    <pivotField numFmtId="165" showAll="0"/>
    <pivotField showAll="0" defaultSubtotal="0"/>
    <pivotField numFmtId="1" showAll="0" defaultSubtotal="0"/>
    <pivotField showAll="0" defaultSubtotal="0"/>
    <pivotField showAll="0" defaultSubtotal="0"/>
  </pivotFields>
  <rowFields count="1">
    <field x="2"/>
  </rowFields>
  <rowItems count="9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1"/>
  </colFields>
  <colItems count="8"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colItems>
  <dataFields count="1">
    <dataField name="Sum of Target" fld="3" baseField="0" baseItem="0" numFmtId="1"/>
  </dataFields>
  <formats count="2">
    <format dxfId="7">
      <pivotArea grandCol="1" outline="0" collapsedLevelsAreSubtotals="1" fieldPosition="0"/>
    </format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97" totalsRowShown="0" headerRowDxfId="16">
  <autoFilter ref="A1:J97" xr:uid="{00000000-0009-0000-0100-000001000000}"/>
  <tableColumns count="10">
    <tableColumn id="1" xr3:uid="{00000000-0010-0000-0000-000001000000}" name="No Bulan" dataDxfId="15">
      <calculatedColumnFormula>A1</calculatedColumnFormula>
    </tableColumn>
    <tableColumn id="2" xr3:uid="{00000000-0010-0000-0000-000002000000}" name="Bulan" dataDxfId="14">
      <calculatedColumnFormula>TEXT(A2,"m")</calculatedColumnFormula>
    </tableColumn>
    <tableColumn id="3" xr3:uid="{00000000-0010-0000-0000-000003000000}" name="Cat Design"/>
    <tableColumn id="4" xr3:uid="{00000000-0010-0000-0000-000004000000}" name="Target" dataDxfId="13"/>
    <tableColumn id="5" xr3:uid="{00000000-0010-0000-0000-000005000000}" name="Actual"/>
    <tableColumn id="7" xr3:uid="{00000000-0010-0000-0000-000007000000}" name="%Capaian" dataDxfId="12" dataCellStyle="Percent">
      <calculatedColumnFormula>IFERROR(Table1[[#This Row],[Actual]]/Table1[[#This Row],[Target]],0)</calculatedColumnFormula>
    </tableColumn>
    <tableColumn id="6" xr3:uid="{00000000-0010-0000-0000-000006000000}" name="Hari Kerja (Weekend Sab Min)" dataDxfId="11" dataCellStyle="Percent">
      <calculatedColumnFormula>IFERROR(NETWORKDAYS.INTL(A2,IF(MONTH(A2)&lt;MONTH($K$2),EOMONTH(A2,0),IF(MONTH(A2)=MONTH($K$2),$K$2)),1),"")</calculatedColumnFormula>
    </tableColumn>
    <tableColumn id="8" xr3:uid="{00000000-0010-0000-0000-000008000000}" name="Jumlah Hari Kerja (Weekend Sab Min)" dataDxfId="10" dataCellStyle="Percent">
      <calculatedColumnFormula>NETWORKDAYS.INTL(Table1[[#This Row],[No Bulan]],EOMONTH(Table1[[#This Row],[No Bulan]],0),1)</calculatedColumnFormula>
    </tableColumn>
    <tableColumn id="10" xr3:uid="{00000000-0010-0000-0000-00000A000000}" name="Hari Kerja (Weekend Minggu)" dataDxfId="9">
      <calculatedColumnFormula>IFERROR(NETWORKDAYS.INTL(A2,IF(MONTH(A2)&lt;MONTH($K$2),EOMONTH(A2,0),IF(MONTH(A2)=MONTH($K$2),$K$2)),11),"")</calculatedColumnFormula>
    </tableColumn>
    <tableColumn id="11" xr3:uid="{00000000-0010-0000-0000-00000B000000}" name="Jumlah Hari Kerja (Weekend Minggu)" dataDxfId="8">
      <calculatedColumnFormula>NETWORKDAYS.INTL(Table1[[#This Row],[No Bulan]],EOMONTH(Table1[[#This Row],[No Bulan]],0),11)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L51"/>
  <sheetViews>
    <sheetView showGridLines="0" zoomScale="75" workbookViewId="0">
      <selection activeCell="J14" sqref="J14"/>
    </sheetView>
  </sheetViews>
  <sheetFormatPr defaultRowHeight="18.75" x14ac:dyDescent="0.3"/>
  <cols>
    <col min="1" max="1" width="13.140625" bestFit="1" customWidth="1"/>
    <col min="2" max="3" width="13.28515625" customWidth="1"/>
    <col min="4" max="4" width="35.140625" style="12" bestFit="1" customWidth="1"/>
    <col min="5" max="5" width="42.140625" bestFit="1" customWidth="1"/>
    <col min="6" max="6" width="24.7109375" bestFit="1" customWidth="1"/>
    <col min="7" max="7" width="23.140625" bestFit="1" customWidth="1"/>
    <col min="8" max="8" width="23.140625" style="19" customWidth="1"/>
    <col min="9" max="9" width="17.140625" bestFit="1" customWidth="1"/>
    <col min="10" max="10" width="14.5703125" style="23" bestFit="1" customWidth="1"/>
  </cols>
  <sheetData>
    <row r="1" spans="1:12" x14ac:dyDescent="0.3">
      <c r="D1" s="16"/>
      <c r="E1" s="2"/>
    </row>
    <row r="2" spans="1:12" x14ac:dyDescent="0.3">
      <c r="D2" s="16"/>
      <c r="E2" s="2"/>
    </row>
    <row r="3" spans="1:12" x14ac:dyDescent="0.3">
      <c r="A3" t="s">
        <v>22</v>
      </c>
      <c r="B3" t="s">
        <v>21</v>
      </c>
      <c r="D3" s="17">
        <f>GETPIVOTDATA("Sum of Actual",$A$3)/GETPIVOTDATA("Sum of Target",$A$3)</f>
        <v>0.72255128915640254</v>
      </c>
      <c r="E3" s="2"/>
    </row>
    <row r="4" spans="1:12" x14ac:dyDescent="0.3">
      <c r="A4">
        <v>39763832</v>
      </c>
      <c r="B4">
        <v>55032539</v>
      </c>
      <c r="D4" s="16"/>
      <c r="E4" s="2"/>
    </row>
    <row r="5" spans="1:12" x14ac:dyDescent="0.3">
      <c r="D5" s="16"/>
      <c r="E5" s="2"/>
    </row>
    <row r="6" spans="1:12" x14ac:dyDescent="0.3">
      <c r="D6" s="16"/>
      <c r="E6" s="68">
        <f>GETPIVOTDATA("Sum of Actual",$A$3)</f>
        <v>39763832</v>
      </c>
    </row>
    <row r="7" spans="1:12" x14ac:dyDescent="0.3">
      <c r="D7" s="16"/>
      <c r="E7" s="68">
        <f>GETPIVOTDATA("Sum of Target",$A$3)-E6</f>
        <v>15268707</v>
      </c>
    </row>
    <row r="8" spans="1:12" x14ac:dyDescent="0.3">
      <c r="D8" s="16"/>
      <c r="E8" s="68">
        <f>GETPIVOTDATA("Sum of Target",$A$3)</f>
        <v>55032539</v>
      </c>
    </row>
    <row r="9" spans="1:12" x14ac:dyDescent="0.3">
      <c r="D9" s="16"/>
      <c r="E9" s="71"/>
    </row>
    <row r="10" spans="1:12" x14ac:dyDescent="0.3">
      <c r="D10" s="16"/>
      <c r="E10" s="2"/>
    </row>
    <row r="12" spans="1:12" x14ac:dyDescent="0.3">
      <c r="I12" s="5"/>
    </row>
    <row r="13" spans="1:12" ht="21" x14ac:dyDescent="0.35">
      <c r="A13" s="1" t="s">
        <v>23</v>
      </c>
      <c r="B13" t="s">
        <v>22</v>
      </c>
      <c r="C13" t="s">
        <v>21</v>
      </c>
      <c r="D13" t="s">
        <v>45</v>
      </c>
      <c r="E13" t="s">
        <v>46</v>
      </c>
      <c r="F13" s="15">
        <v>45869</v>
      </c>
      <c r="G13" t="s">
        <v>29</v>
      </c>
      <c r="H13" s="19" t="s">
        <v>28</v>
      </c>
      <c r="I13" t="s">
        <v>26</v>
      </c>
      <c r="J13" s="23" t="s">
        <v>27</v>
      </c>
    </row>
    <row r="14" spans="1:12" s="2" customFormat="1" x14ac:dyDescent="0.25">
      <c r="A14" s="61" t="s">
        <v>6</v>
      </c>
      <c r="B14">
        <v>4134848</v>
      </c>
      <c r="C14" s="14">
        <v>9261180</v>
      </c>
      <c r="D14">
        <v>23</v>
      </c>
      <c r="E14">
        <v>23</v>
      </c>
      <c r="G14" s="66">
        <f>VLOOKUP(TEXT(F13,"m"),$A$32:$C$45,2,0)</f>
        <v>3292452</v>
      </c>
      <c r="H14" s="67">
        <f>VLOOKUP(TEXT($F$13,"m"),$A$32:$E$45,3,0)</f>
        <v>8877909</v>
      </c>
      <c r="I14" s="68">
        <f>VLOOKUP(TEXT($F$13,"m"),$A$32:$E$45,3,0)*VLOOKUP(TEXT($F$13,"m"),$A$32:$E$45,4,0)/VLOOKUP(TEXT($F$13,"m"),$A$32:$E$45,5,0)</f>
        <v>8877909</v>
      </c>
      <c r="J14" s="69">
        <f>VLOOKUP(TEXT($F$13,"m"),$A$32:$E$45,3,0)*(VLOOKUP(TEXT($F$13,"m"),$A$32:$E$45,4,0)+1)/VLOOKUP(TEXT($F$13,"m"),$A$32:$E$45,5,0)-G14</f>
        <v>5914268.444444444</v>
      </c>
      <c r="K14" s="18"/>
      <c r="L14" s="18"/>
    </row>
    <row r="15" spans="1:12" x14ac:dyDescent="0.3">
      <c r="A15" s="61" t="s">
        <v>4</v>
      </c>
      <c r="B15">
        <v>6330122</v>
      </c>
      <c r="C15" s="14">
        <v>6631500</v>
      </c>
      <c r="D15">
        <v>20</v>
      </c>
      <c r="E15">
        <v>20</v>
      </c>
    </row>
    <row r="16" spans="1:12" x14ac:dyDescent="0.3">
      <c r="A16" s="61" t="s">
        <v>5</v>
      </c>
      <c r="B16">
        <v>7661757</v>
      </c>
      <c r="C16" s="14">
        <v>9057720</v>
      </c>
      <c r="D16">
        <v>21</v>
      </c>
      <c r="E16">
        <v>21</v>
      </c>
    </row>
    <row r="17" spans="1:8" x14ac:dyDescent="0.3">
      <c r="A17" s="61" t="s">
        <v>7</v>
      </c>
      <c r="B17">
        <v>6627388</v>
      </c>
      <c r="C17" s="14">
        <v>7877540</v>
      </c>
      <c r="D17">
        <v>22</v>
      </c>
      <c r="E17">
        <v>22</v>
      </c>
    </row>
    <row r="18" spans="1:8" x14ac:dyDescent="0.3">
      <c r="A18" s="61" t="s">
        <v>1</v>
      </c>
      <c r="B18">
        <v>5603084</v>
      </c>
      <c r="C18" s="14">
        <v>9258150</v>
      </c>
      <c r="D18">
        <v>22</v>
      </c>
      <c r="E18">
        <v>22</v>
      </c>
    </row>
    <row r="19" spans="1:8" x14ac:dyDescent="0.3">
      <c r="A19" s="61" t="s">
        <v>2</v>
      </c>
      <c r="B19">
        <v>6114181</v>
      </c>
      <c r="C19" s="14">
        <v>4068540</v>
      </c>
      <c r="D19">
        <v>21</v>
      </c>
      <c r="E19">
        <v>21</v>
      </c>
    </row>
    <row r="20" spans="1:8" x14ac:dyDescent="0.3">
      <c r="A20" s="61" t="s">
        <v>3</v>
      </c>
      <c r="B20">
        <v>3292452</v>
      </c>
      <c r="C20" s="14">
        <v>8877909</v>
      </c>
      <c r="D20">
        <v>23</v>
      </c>
      <c r="E20">
        <v>23</v>
      </c>
    </row>
    <row r="21" spans="1:8" x14ac:dyDescent="0.3">
      <c r="A21" s="61" t="s">
        <v>11</v>
      </c>
      <c r="B21">
        <v>0</v>
      </c>
      <c r="C21" s="14">
        <v>0</v>
      </c>
      <c r="D21">
        <v>21</v>
      </c>
      <c r="E21">
        <v>21</v>
      </c>
    </row>
    <row r="22" spans="1:8" x14ac:dyDescent="0.3">
      <c r="A22" s="61" t="s">
        <v>12</v>
      </c>
      <c r="B22">
        <v>0</v>
      </c>
      <c r="C22" s="14">
        <v>0</v>
      </c>
      <c r="D22">
        <v>12</v>
      </c>
      <c r="E22">
        <v>22</v>
      </c>
    </row>
    <row r="23" spans="1:8" x14ac:dyDescent="0.3">
      <c r="A23" s="61" t="s">
        <v>8</v>
      </c>
      <c r="B23">
        <v>0</v>
      </c>
      <c r="C23" s="14">
        <v>0</v>
      </c>
      <c r="D23">
        <v>0</v>
      </c>
      <c r="E23">
        <v>23</v>
      </c>
    </row>
    <row r="24" spans="1:8" x14ac:dyDescent="0.3">
      <c r="A24" s="61" t="s">
        <v>9</v>
      </c>
      <c r="B24">
        <v>0</v>
      </c>
      <c r="C24" s="14">
        <v>0</v>
      </c>
      <c r="D24">
        <v>0</v>
      </c>
      <c r="E24">
        <v>20</v>
      </c>
    </row>
    <row r="25" spans="1:8" x14ac:dyDescent="0.3">
      <c r="A25" s="61" t="s">
        <v>10</v>
      </c>
      <c r="B25">
        <v>0</v>
      </c>
      <c r="C25" s="14">
        <v>0</v>
      </c>
      <c r="D25">
        <v>0</v>
      </c>
      <c r="E25">
        <v>23</v>
      </c>
    </row>
    <row r="26" spans="1:8" x14ac:dyDescent="0.3">
      <c r="A26" s="61" t="s">
        <v>0</v>
      </c>
      <c r="B26">
        <v>39763832</v>
      </c>
      <c r="C26" s="14">
        <v>55032539</v>
      </c>
      <c r="D26">
        <v>23</v>
      </c>
      <c r="E26">
        <v>23</v>
      </c>
    </row>
    <row r="27" spans="1:8" x14ac:dyDescent="0.3">
      <c r="D27"/>
    </row>
    <row r="28" spans="1:8" x14ac:dyDescent="0.3">
      <c r="D28"/>
    </row>
    <row r="29" spans="1:8" x14ac:dyDescent="0.3">
      <c r="D29"/>
    </row>
    <row r="30" spans="1:8" x14ac:dyDescent="0.3">
      <c r="D30"/>
      <c r="G30" t="s">
        <v>32</v>
      </c>
      <c r="H30" s="67">
        <f>VLOOKUP(TEXT($F$13,"m"),$A$32:$C$45,2,0)</f>
        <v>3292452</v>
      </c>
    </row>
    <row r="31" spans="1:8" x14ac:dyDescent="0.3">
      <c r="D31"/>
      <c r="G31" t="s">
        <v>30</v>
      </c>
      <c r="H31" s="67">
        <f>$H$32-$H$30</f>
        <v>5585457</v>
      </c>
    </row>
    <row r="32" spans="1:8" x14ac:dyDescent="0.3">
      <c r="A32" s="1" t="s">
        <v>23</v>
      </c>
      <c r="B32" t="s">
        <v>22</v>
      </c>
      <c r="C32" t="s">
        <v>21</v>
      </c>
      <c r="D32" t="s">
        <v>24</v>
      </c>
      <c r="E32" t="s">
        <v>25</v>
      </c>
      <c r="G32" t="s">
        <v>28</v>
      </c>
      <c r="H32" s="67">
        <f>VLOOKUP(TEXT($F$13,"m"),$A$32:$E$45,3,0)</f>
        <v>8877909</v>
      </c>
    </row>
    <row r="33" spans="1:10" x14ac:dyDescent="0.3">
      <c r="A33" s="61" t="s">
        <v>6</v>
      </c>
      <c r="B33">
        <v>4134848</v>
      </c>
      <c r="C33" s="14">
        <v>9261180</v>
      </c>
      <c r="D33">
        <v>27</v>
      </c>
      <c r="E33">
        <v>27</v>
      </c>
      <c r="G33" t="s">
        <v>31</v>
      </c>
      <c r="H33" s="20">
        <f>H30/H32</f>
        <v>0.37085894888086823</v>
      </c>
    </row>
    <row r="34" spans="1:10" x14ac:dyDescent="0.3">
      <c r="A34" s="61" t="s">
        <v>4</v>
      </c>
      <c r="B34">
        <v>6330122</v>
      </c>
      <c r="C34" s="14">
        <v>6631500</v>
      </c>
      <c r="D34">
        <v>24</v>
      </c>
      <c r="E34">
        <v>24</v>
      </c>
    </row>
    <row r="35" spans="1:10" x14ac:dyDescent="0.3">
      <c r="A35" s="61" t="s">
        <v>5</v>
      </c>
      <c r="B35">
        <v>7661757</v>
      </c>
      <c r="C35" s="14">
        <v>9057720</v>
      </c>
      <c r="D35">
        <v>26</v>
      </c>
      <c r="E35">
        <v>26</v>
      </c>
    </row>
    <row r="36" spans="1:10" x14ac:dyDescent="0.3">
      <c r="A36" s="61" t="s">
        <v>7</v>
      </c>
      <c r="B36">
        <v>6627388</v>
      </c>
      <c r="C36" s="14">
        <v>7877540</v>
      </c>
      <c r="D36">
        <v>26</v>
      </c>
      <c r="E36">
        <v>26</v>
      </c>
    </row>
    <row r="37" spans="1:10" x14ac:dyDescent="0.3">
      <c r="A37" s="61" t="s">
        <v>1</v>
      </c>
      <c r="B37">
        <v>5603084</v>
      </c>
      <c r="C37" s="14">
        <v>9258150</v>
      </c>
      <c r="D37">
        <v>27</v>
      </c>
      <c r="E37">
        <v>27</v>
      </c>
    </row>
    <row r="38" spans="1:10" x14ac:dyDescent="0.25">
      <c r="A38" s="61" t="s">
        <v>2</v>
      </c>
      <c r="B38">
        <v>6114181</v>
      </c>
      <c r="C38" s="14">
        <v>4068540</v>
      </c>
      <c r="D38">
        <v>25</v>
      </c>
      <c r="E38">
        <v>25</v>
      </c>
      <c r="G38" t="s">
        <v>32</v>
      </c>
      <c r="H38" s="67">
        <f>VLOOKUP(TEXT($F$13,"m"),$A$32:$C$45,2,0)</f>
        <v>3292452</v>
      </c>
      <c r="I38" t="s">
        <v>27</v>
      </c>
      <c r="J38" s="69">
        <f>VLOOKUP(TEXT($F$13,"m"),$A$32:$E$45,3,0)*(VLOOKUP(TEXT($F$13,"m"),$A$32:$E$45,4,0)+1)/VLOOKUP(TEXT($F$13,"m"),$A$32:$E$45,5,0)-$H$38</f>
        <v>5914268.444444444</v>
      </c>
    </row>
    <row r="39" spans="1:10" x14ac:dyDescent="0.3">
      <c r="A39" s="61" t="s">
        <v>3</v>
      </c>
      <c r="B39">
        <v>3292452</v>
      </c>
      <c r="C39" s="14">
        <v>8877909</v>
      </c>
      <c r="D39">
        <v>27</v>
      </c>
      <c r="E39">
        <v>27</v>
      </c>
      <c r="G39" t="s">
        <v>30</v>
      </c>
      <c r="H39" s="67">
        <f>$H$40-$H$38</f>
        <v>5585457</v>
      </c>
      <c r="I39" t="s">
        <v>36</v>
      </c>
      <c r="J39" s="70">
        <f>VLOOKUP(TEXT($F$13,"m"),$A$32:$E$45,3,0)*(VLOOKUP(TEXT($F$13,"m"),$A$32:$E$45,4,0)+1)/VLOOKUP(TEXT($F$13,"m"),$A$32:$E$45,5,0)</f>
        <v>9206720.444444444</v>
      </c>
    </row>
    <row r="40" spans="1:10" x14ac:dyDescent="0.3">
      <c r="A40" s="61" t="s">
        <v>11</v>
      </c>
      <c r="B40">
        <v>0</v>
      </c>
      <c r="C40" s="14">
        <v>0</v>
      </c>
      <c r="D40">
        <v>26</v>
      </c>
      <c r="E40">
        <v>26</v>
      </c>
      <c r="G40" t="s">
        <v>26</v>
      </c>
      <c r="H40" s="67">
        <f>VLOOKUP(TEXT($F$13,"m"),$A$32:$E$45,3,0)*VLOOKUP(TEXT($F$13,"m"),$A$32:$E$45,4,0)/VLOOKUP(TEXT($F$13,"m"),$A$32:$E$45,5,0)</f>
        <v>8877909</v>
      </c>
      <c r="J40" s="24"/>
    </row>
    <row r="41" spans="1:10" x14ac:dyDescent="0.3">
      <c r="A41" s="61" t="s">
        <v>12</v>
      </c>
      <c r="B41">
        <v>0</v>
      </c>
      <c r="C41" s="14">
        <v>0</v>
      </c>
      <c r="D41">
        <v>14</v>
      </c>
      <c r="E41">
        <v>26</v>
      </c>
      <c r="G41" t="s">
        <v>33</v>
      </c>
      <c r="H41" s="20">
        <f>H38/H40</f>
        <v>0.37085894888086823</v>
      </c>
    </row>
    <row r="42" spans="1:10" x14ac:dyDescent="0.3">
      <c r="A42" s="61" t="s">
        <v>8</v>
      </c>
      <c r="B42">
        <v>0</v>
      </c>
      <c r="C42" s="14">
        <v>0</v>
      </c>
      <c r="D42">
        <v>0</v>
      </c>
      <c r="E42">
        <v>27</v>
      </c>
    </row>
    <row r="43" spans="1:10" x14ac:dyDescent="0.3">
      <c r="A43" s="61" t="s">
        <v>9</v>
      </c>
      <c r="B43">
        <v>0</v>
      </c>
      <c r="C43" s="14">
        <v>0</v>
      </c>
      <c r="D43">
        <v>0</v>
      </c>
      <c r="E43">
        <v>25</v>
      </c>
    </row>
    <row r="44" spans="1:10" x14ac:dyDescent="0.3">
      <c r="A44" s="61" t="s">
        <v>10</v>
      </c>
      <c r="B44">
        <v>0</v>
      </c>
      <c r="C44" s="14">
        <v>0</v>
      </c>
      <c r="D44">
        <v>0</v>
      </c>
      <c r="E44">
        <v>27</v>
      </c>
    </row>
    <row r="45" spans="1:10" ht="26.25" x14ac:dyDescent="0.4">
      <c r="A45" s="61" t="s">
        <v>0</v>
      </c>
      <c r="B45">
        <v>39763832</v>
      </c>
      <c r="C45" s="14">
        <v>55032539</v>
      </c>
      <c r="D45">
        <v>27</v>
      </c>
      <c r="E45">
        <v>27</v>
      </c>
      <c r="G45" t="s">
        <v>34</v>
      </c>
      <c r="H45" s="21">
        <f>('Target Per Line'!P3-'Target Per Line'!P2)*0.7+'Target Per Line'!P2</f>
        <v>25.8</v>
      </c>
    </row>
    <row r="46" spans="1:10" x14ac:dyDescent="0.3">
      <c r="G46" t="s">
        <v>35</v>
      </c>
      <c r="H46" s="22">
        <f>'Target Per Line'!Q2+0.7*('Target Per Line'!Q3-'Target Per Line'!Q2)</f>
        <v>25.8</v>
      </c>
    </row>
    <row r="47" spans="1:10" x14ac:dyDescent="0.3">
      <c r="G47" t="s">
        <v>48</v>
      </c>
      <c r="H47" s="19" t="str">
        <f ca="1">TEXT(TODAY(),"ddd")</f>
        <v>Mgg</v>
      </c>
    </row>
    <row r="48" spans="1:10" x14ac:dyDescent="0.3">
      <c r="G48" t="s">
        <v>49</v>
      </c>
      <c r="H48" s="19">
        <f ca="1">IF($H$47="Sab",0.7,1)</f>
        <v>1</v>
      </c>
    </row>
    <row r="49" spans="7:7" x14ac:dyDescent="0.3">
      <c r="G49">
        <v>-6</v>
      </c>
    </row>
    <row r="50" spans="7:7" x14ac:dyDescent="0.3">
      <c r="G50" s="28" t="str">
        <f>IF($G$49&gt;0,CONCATENATE("LEBIH ",$G$49," Pcs"),"")</f>
        <v/>
      </c>
    </row>
    <row r="51" spans="7:7" x14ac:dyDescent="0.3">
      <c r="G51" s="27" t="str">
        <f>IF($G$49&lt;0,CONCATENATE("KURANG ",ABS($G$49)," Pcs"),"")</f>
        <v>KURANG 6 Pcs</v>
      </c>
    </row>
  </sheetData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1:Q44"/>
  <sheetViews>
    <sheetView topLeftCell="A11" workbookViewId="0">
      <selection activeCell="I40" sqref="I40:P40"/>
    </sheetView>
  </sheetViews>
  <sheetFormatPr defaultRowHeight="15" x14ac:dyDescent="0.25"/>
  <cols>
    <col min="2" max="2" width="13.140625" bestFit="1" customWidth="1"/>
    <col min="3" max="3" width="13.28515625" bestFit="1" customWidth="1"/>
    <col min="4" max="4" width="13.28515625" customWidth="1"/>
    <col min="5" max="5" width="34.7109375" customWidth="1"/>
    <col min="6" max="6" width="41.5703125" bestFit="1" customWidth="1"/>
    <col min="7" max="7" width="12" bestFit="1" customWidth="1"/>
    <col min="8" max="8" width="11.5703125" bestFit="1" customWidth="1"/>
    <col min="9" max="9" width="10.42578125" bestFit="1" customWidth="1"/>
    <col min="10" max="10" width="9.42578125" bestFit="1" customWidth="1"/>
    <col min="11" max="13" width="10.42578125" bestFit="1" customWidth="1"/>
  </cols>
  <sheetData>
    <row r="1" spans="2:17" x14ac:dyDescent="0.25">
      <c r="F1" t="str">
        <f>$B4</f>
        <v>LINE B</v>
      </c>
    </row>
    <row r="2" spans="2:17" x14ac:dyDescent="0.25">
      <c r="B2" s="1" t="s">
        <v>23</v>
      </c>
      <c r="C2" t="s">
        <v>22</v>
      </c>
      <c r="D2" t="s">
        <v>21</v>
      </c>
      <c r="F2" t="str">
        <f>$B3</f>
        <v>LINE A</v>
      </c>
      <c r="H2" t="str">
        <f>$B5</f>
        <v>LINE C</v>
      </c>
      <c r="I2" t="str">
        <f>$B6</f>
        <v>LINE D</v>
      </c>
      <c r="J2" t="str">
        <f>$B7</f>
        <v>LINE E</v>
      </c>
      <c r="K2" t="str">
        <f>$B8</f>
        <v>LINE F</v>
      </c>
      <c r="L2" t="str">
        <f>$B9</f>
        <v>LINE G</v>
      </c>
      <c r="M2" t="str">
        <f>$B10</f>
        <v>LINE H</v>
      </c>
      <c r="P2">
        <f>NETWORKDAYS(EOMONTH(KPI!F13,-1)+1,KPI!F13)</f>
        <v>23</v>
      </c>
      <c r="Q2">
        <f>NETWORKDAYS(EOMONTH(KPI!$F$13,-1)+1,EOMONTH(KPI!$F$13,0))</f>
        <v>23</v>
      </c>
    </row>
    <row r="3" spans="2:17" x14ac:dyDescent="0.25">
      <c r="B3" s="61" t="s">
        <v>53</v>
      </c>
      <c r="C3">
        <v>6499408</v>
      </c>
      <c r="D3" s="14">
        <v>8165950</v>
      </c>
      <c r="E3" t="s">
        <v>29</v>
      </c>
      <c r="F3">
        <f>VLOOKUP(F$2,$B$2:$D$11,2,0)+VLOOKUP(F$1,$B$2:$D$11,2,0)</f>
        <v>6559965</v>
      </c>
      <c r="H3">
        <f t="shared" ref="H3:M3" si="0">VLOOKUP(H$2,$B$2:$D$11,2,0)</f>
        <v>23698199</v>
      </c>
      <c r="I3">
        <f t="shared" si="0"/>
        <v>1820277</v>
      </c>
      <c r="J3">
        <f t="shared" si="0"/>
        <v>96294</v>
      </c>
      <c r="K3">
        <f t="shared" si="0"/>
        <v>1665236</v>
      </c>
      <c r="L3">
        <f t="shared" si="0"/>
        <v>3144432</v>
      </c>
      <c r="M3">
        <f t="shared" si="0"/>
        <v>2779429</v>
      </c>
      <c r="P3">
        <f>NETWORKDAYS.INTL(EOMONTH(KPI!$F$13,-1)+1,KPI!$F$13,11)</f>
        <v>27</v>
      </c>
      <c r="Q3">
        <f>NETWORKDAYS.INTL(EOMONTH(KPI!$F$13,-1)+1,EOMONTH(KPI!$F$13,0),11)</f>
        <v>27</v>
      </c>
    </row>
    <row r="4" spans="2:17" x14ac:dyDescent="0.25">
      <c r="B4" s="61" t="s">
        <v>54</v>
      </c>
      <c r="C4">
        <v>60557</v>
      </c>
      <c r="D4" s="14">
        <v>0</v>
      </c>
      <c r="E4" t="s">
        <v>30</v>
      </c>
      <c r="F4" s="14">
        <f>F5-F3</f>
        <v>1605985</v>
      </c>
      <c r="G4" s="14"/>
      <c r="H4" s="14">
        <f t="shared" ref="H4:M4" si="1">H5-H3</f>
        <v>9942341</v>
      </c>
      <c r="I4" s="14">
        <f t="shared" si="1"/>
        <v>1828949</v>
      </c>
      <c r="J4" s="14">
        <f t="shared" si="1"/>
        <v>288086</v>
      </c>
      <c r="K4" s="14">
        <f t="shared" si="1"/>
        <v>176614</v>
      </c>
      <c r="L4" s="14">
        <f t="shared" si="1"/>
        <v>456641</v>
      </c>
      <c r="M4" s="14">
        <f t="shared" si="1"/>
        <v>970091</v>
      </c>
    </row>
    <row r="5" spans="2:17" x14ac:dyDescent="0.25">
      <c r="B5" s="61" t="s">
        <v>55</v>
      </c>
      <c r="C5">
        <v>23698199</v>
      </c>
      <c r="D5" s="14">
        <v>33640540</v>
      </c>
      <c r="E5" t="s">
        <v>15</v>
      </c>
      <c r="F5" s="14">
        <f>VLOOKUP(F$2,$B$2:$D$11,3,0)+VLOOKUP(F$1,$B$2:$D$11,3,0)</f>
        <v>8165950</v>
      </c>
      <c r="G5" s="14"/>
      <c r="H5" s="14">
        <f t="shared" ref="H5:M5" si="2">VLOOKUP(H$2,$B$2:$D$11,3,0)</f>
        <v>33640540</v>
      </c>
      <c r="I5" s="14">
        <f t="shared" si="2"/>
        <v>3649226</v>
      </c>
      <c r="J5" s="14">
        <f t="shared" si="2"/>
        <v>384380</v>
      </c>
      <c r="K5" s="14">
        <f t="shared" si="2"/>
        <v>1841850</v>
      </c>
      <c r="L5" s="14">
        <f t="shared" si="2"/>
        <v>3601073</v>
      </c>
      <c r="M5" s="14">
        <f t="shared" si="2"/>
        <v>3749520</v>
      </c>
    </row>
    <row r="6" spans="2:17" ht="15.75" x14ac:dyDescent="0.25">
      <c r="B6" s="61" t="s">
        <v>56</v>
      </c>
      <c r="C6">
        <v>1820277</v>
      </c>
      <c r="D6" s="14">
        <v>3649226</v>
      </c>
      <c r="E6" t="s">
        <v>37</v>
      </c>
      <c r="F6" s="26">
        <f>F3/F5</f>
        <v>0.80333151684739679</v>
      </c>
      <c r="G6" s="26"/>
      <c r="H6" s="26">
        <f t="shared" ref="H6:M6" si="3">H3/H5</f>
        <v>0.70445358487111087</v>
      </c>
      <c r="I6" s="26">
        <f t="shared" si="3"/>
        <v>0.49881180283161414</v>
      </c>
      <c r="J6" s="26">
        <f t="shared" si="3"/>
        <v>0.25051771684270774</v>
      </c>
      <c r="K6" s="26">
        <f t="shared" si="3"/>
        <v>0.90411054103211441</v>
      </c>
      <c r="L6" s="26">
        <f t="shared" si="3"/>
        <v>0.87319307328676754</v>
      </c>
      <c r="M6" s="26">
        <f t="shared" si="3"/>
        <v>0.74127594998826518</v>
      </c>
    </row>
    <row r="7" spans="2:17" ht="26.25" x14ac:dyDescent="0.4">
      <c r="B7" s="61" t="s">
        <v>57</v>
      </c>
      <c r="C7">
        <v>96294</v>
      </c>
      <c r="D7" s="14">
        <v>384380</v>
      </c>
      <c r="E7" t="s">
        <v>38</v>
      </c>
      <c r="F7" s="14">
        <f>F3-F5</f>
        <v>-1605985</v>
      </c>
      <c r="G7" s="14"/>
      <c r="H7" s="14">
        <f t="shared" ref="H7:M7" si="4">H3-H5</f>
        <v>-9942341</v>
      </c>
      <c r="I7" s="14">
        <f t="shared" si="4"/>
        <v>-1828949</v>
      </c>
      <c r="J7" s="14">
        <f t="shared" si="4"/>
        <v>-288086</v>
      </c>
      <c r="K7" s="14">
        <f t="shared" si="4"/>
        <v>-176614</v>
      </c>
      <c r="L7" s="14">
        <f t="shared" si="4"/>
        <v>-456641</v>
      </c>
      <c r="M7" s="14">
        <f t="shared" si="4"/>
        <v>-970091</v>
      </c>
      <c r="O7" t="s">
        <v>34</v>
      </c>
      <c r="P7" s="21"/>
    </row>
    <row r="8" spans="2:17" ht="18.75" x14ac:dyDescent="0.3">
      <c r="B8" s="61" t="s">
        <v>58</v>
      </c>
      <c r="C8">
        <v>1665236</v>
      </c>
      <c r="D8" s="14">
        <v>1841850</v>
      </c>
      <c r="F8" s="29" t="str">
        <f>IF(F$7&gt;=0,"LEBIH","")</f>
        <v/>
      </c>
      <c r="G8" s="29"/>
      <c r="H8" s="29" t="str">
        <f t="shared" ref="H8:M8" si="5">IF(H$7&gt;=0,"LEBIH","")</f>
        <v/>
      </c>
      <c r="I8" s="29" t="str">
        <f t="shared" si="5"/>
        <v/>
      </c>
      <c r="J8" s="29" t="str">
        <f t="shared" si="5"/>
        <v/>
      </c>
      <c r="K8" s="29" t="str">
        <f t="shared" si="5"/>
        <v/>
      </c>
      <c r="L8" s="29" t="str">
        <f t="shared" si="5"/>
        <v/>
      </c>
      <c r="M8" s="29" t="str">
        <f t="shared" si="5"/>
        <v/>
      </c>
      <c r="O8" t="s">
        <v>47</v>
      </c>
      <c r="P8" s="22"/>
    </row>
    <row r="9" spans="2:17" ht="15.75" x14ac:dyDescent="0.25">
      <c r="B9" s="61" t="s">
        <v>59</v>
      </c>
      <c r="C9">
        <v>3144432</v>
      </c>
      <c r="D9" s="14">
        <v>3601073</v>
      </c>
      <c r="F9" s="30" t="str">
        <f>IF(F$7&lt;0,"KURANG","")</f>
        <v>KURANG</v>
      </c>
      <c r="G9" s="30"/>
      <c r="H9" s="30" t="str">
        <f t="shared" ref="H9:M9" si="6">IF(H$7&lt;0,"KURANG","")</f>
        <v>KURANG</v>
      </c>
      <c r="I9" s="30" t="str">
        <f t="shared" si="6"/>
        <v>KURANG</v>
      </c>
      <c r="J9" s="30" t="str">
        <f t="shared" si="6"/>
        <v>KURANG</v>
      </c>
      <c r="K9" s="30" t="str">
        <f t="shared" si="6"/>
        <v>KURANG</v>
      </c>
      <c r="L9" s="30" t="str">
        <f t="shared" si="6"/>
        <v>KURANG</v>
      </c>
      <c r="M9" s="30" t="str">
        <f t="shared" si="6"/>
        <v>KURANG</v>
      </c>
    </row>
    <row r="10" spans="2:17" ht="15.75" x14ac:dyDescent="0.25">
      <c r="B10" s="61" t="s">
        <v>60</v>
      </c>
      <c r="C10">
        <v>2779429</v>
      </c>
      <c r="D10" s="14">
        <v>3749520</v>
      </c>
      <c r="F10" s="31" t="str">
        <f>IF(F$7&gt;=0,CONCATENATE(TEXT(_xlfn.CEILING.MATH(F$7),"#,##0"), " Pcs"),"")</f>
        <v/>
      </c>
      <c r="G10" s="31" t="str">
        <f t="shared" ref="G10:M10" si="7">IF(G$7&gt;=0,CONCATENATE(TEXT(_xlfn.CEILING.MATH(G$7),"#,##0"), " Pcs"),"")</f>
        <v>0 Pcs</v>
      </c>
      <c r="H10" s="31" t="str">
        <f t="shared" si="7"/>
        <v/>
      </c>
      <c r="I10" s="31" t="str">
        <f t="shared" si="7"/>
        <v/>
      </c>
      <c r="J10" s="31" t="str">
        <f t="shared" si="7"/>
        <v/>
      </c>
      <c r="K10" s="31" t="str">
        <f t="shared" si="7"/>
        <v/>
      </c>
      <c r="L10" s="31" t="str">
        <f t="shared" si="7"/>
        <v/>
      </c>
      <c r="M10" s="31" t="str">
        <f t="shared" si="7"/>
        <v/>
      </c>
    </row>
    <row r="11" spans="2:17" s="3" customFormat="1" ht="15.75" x14ac:dyDescent="0.25">
      <c r="B11" s="35" t="s">
        <v>0</v>
      </c>
      <c r="C11" s="3">
        <v>39763832</v>
      </c>
      <c r="D11" s="3">
        <v>55032539</v>
      </c>
      <c r="F11" s="36" t="str">
        <f>IF(F$7&lt;0,CONCATENATE(TEXT(_xlfn.CEILING.MATH(ABS(F$7)),"#,##0")," Pcs"),"")</f>
        <v>1,605,985 Pcs</v>
      </c>
      <c r="G11" s="36" t="str">
        <f t="shared" ref="G11:M11" si="8">IF(G$7&lt;0,CONCATENATE(TEXT(_xlfn.CEILING.MATH(ABS(G$7)),"#,##0")," Pcs"),"")</f>
        <v/>
      </c>
      <c r="H11" s="36" t="str">
        <f t="shared" si="8"/>
        <v>9,942,341 Pcs</v>
      </c>
      <c r="I11" s="36" t="str">
        <f t="shared" si="8"/>
        <v>1,828,949 Pcs</v>
      </c>
      <c r="J11" s="36" t="str">
        <f t="shared" si="8"/>
        <v>288,086 Pcs</v>
      </c>
      <c r="K11" s="36" t="str">
        <f t="shared" si="8"/>
        <v>176,614 Pcs</v>
      </c>
      <c r="L11" s="36" t="str">
        <f t="shared" si="8"/>
        <v>456,641 Pcs</v>
      </c>
      <c r="M11" s="36" t="str">
        <f t="shared" si="8"/>
        <v>970,091 Pcs</v>
      </c>
    </row>
    <row r="12" spans="2:17" ht="15.75" x14ac:dyDescent="0.25">
      <c r="E12" t="s">
        <v>50</v>
      </c>
      <c r="F12" s="62" t="str">
        <f>IF(F$6&gt;0.9,F$6,"")</f>
        <v/>
      </c>
      <c r="G12" s="62" t="str">
        <f t="shared" ref="G12:M12" si="9">IF(G$6&gt;0.9,G$6,"")</f>
        <v/>
      </c>
      <c r="H12" s="62" t="str">
        <f t="shared" si="9"/>
        <v/>
      </c>
      <c r="I12" s="62" t="str">
        <f t="shared" si="9"/>
        <v/>
      </c>
      <c r="J12" s="62" t="str">
        <f t="shared" si="9"/>
        <v/>
      </c>
      <c r="K12" s="62">
        <f t="shared" si="9"/>
        <v>0.90411054103211441</v>
      </c>
      <c r="L12" s="62" t="str">
        <f t="shared" si="9"/>
        <v/>
      </c>
      <c r="M12" s="62" t="str">
        <f t="shared" si="9"/>
        <v/>
      </c>
    </row>
    <row r="13" spans="2:17" ht="15.75" x14ac:dyDescent="0.25">
      <c r="E13" t="s">
        <v>51</v>
      </c>
      <c r="F13" s="64" t="str">
        <f>IF(AND(F$6&gt;0.85,F$6&lt;=0.9),F$6,"")</f>
        <v/>
      </c>
      <c r="G13" s="64" t="str">
        <f t="shared" ref="G13:M13" si="10">IF(AND(G$6&gt;0.85,G$6&lt;=0.9),G$6,"")</f>
        <v/>
      </c>
      <c r="H13" s="64" t="str">
        <f t="shared" si="10"/>
        <v/>
      </c>
      <c r="I13" s="64" t="str">
        <f t="shared" si="10"/>
        <v/>
      </c>
      <c r="J13" s="64" t="str">
        <f t="shared" si="10"/>
        <v/>
      </c>
      <c r="K13" s="64" t="str">
        <f t="shared" si="10"/>
        <v/>
      </c>
      <c r="L13" s="64">
        <f t="shared" si="10"/>
        <v>0.87319307328676754</v>
      </c>
      <c r="M13" s="64" t="str">
        <f t="shared" si="10"/>
        <v/>
      </c>
    </row>
    <row r="14" spans="2:17" ht="15.75" x14ac:dyDescent="0.25">
      <c r="E14" t="s">
        <v>52</v>
      </c>
      <c r="F14" s="63">
        <f>IF(F$6&lt;=0.85,F$6,"")</f>
        <v>0.80333151684739679</v>
      </c>
      <c r="G14" s="63">
        <f t="shared" ref="G14:M14" si="11">IF(G$6&lt;=0.85,G$6,"")</f>
        <v>0</v>
      </c>
      <c r="H14" s="63">
        <f t="shared" si="11"/>
        <v>0.70445358487111087</v>
      </c>
      <c r="I14" s="63">
        <f t="shared" si="11"/>
        <v>0.49881180283161414</v>
      </c>
      <c r="J14" s="63">
        <f t="shared" si="11"/>
        <v>0.25051771684270774</v>
      </c>
      <c r="K14" s="63" t="str">
        <f t="shared" si="11"/>
        <v/>
      </c>
      <c r="L14" s="63" t="str">
        <f t="shared" si="11"/>
        <v/>
      </c>
      <c r="M14" s="63">
        <f t="shared" si="11"/>
        <v>0.74127594998826518</v>
      </c>
    </row>
    <row r="17" spans="2:16" x14ac:dyDescent="0.25">
      <c r="B17" s="1" t="s">
        <v>23</v>
      </c>
      <c r="C17" t="s">
        <v>22</v>
      </c>
      <c r="D17" t="s">
        <v>21</v>
      </c>
      <c r="E17" t="s">
        <v>24</v>
      </c>
      <c r="F17" t="s">
        <v>25</v>
      </c>
      <c r="H17" s="73" t="s">
        <v>42</v>
      </c>
      <c r="I17" s="73"/>
      <c r="J17" s="73"/>
      <c r="K17" s="73"/>
      <c r="L17" s="73"/>
      <c r="M17" s="73"/>
      <c r="N17" s="73"/>
      <c r="O17" s="73"/>
      <c r="P17" s="73"/>
    </row>
    <row r="18" spans="2:16" x14ac:dyDescent="0.25">
      <c r="B18" s="61" t="s">
        <v>3</v>
      </c>
      <c r="C18">
        <v>3292452</v>
      </c>
      <c r="D18" s="14">
        <v>8877909</v>
      </c>
      <c r="E18">
        <v>27</v>
      </c>
      <c r="F18">
        <v>27</v>
      </c>
      <c r="I18" t="str">
        <f>$B19</f>
        <v>LINE A</v>
      </c>
      <c r="J18" t="str">
        <f>$B20</f>
        <v>LINE B</v>
      </c>
      <c r="K18" t="str">
        <f>$B21</f>
        <v>LINE C</v>
      </c>
      <c r="L18" t="str">
        <f>$B22</f>
        <v>LINE D</v>
      </c>
      <c r="M18" t="str">
        <f>$B23</f>
        <v>LINE E</v>
      </c>
      <c r="N18" t="str">
        <f>$B24</f>
        <v>LINE F</v>
      </c>
      <c r="O18" t="str">
        <f>$B25</f>
        <v>LINE G</v>
      </c>
      <c r="P18" t="str">
        <f>$B26</f>
        <v>LINE H</v>
      </c>
    </row>
    <row r="19" spans="2:16" x14ac:dyDescent="0.25">
      <c r="B19" s="25" t="s">
        <v>53</v>
      </c>
      <c r="C19">
        <v>596475</v>
      </c>
      <c r="D19" s="14">
        <v>1044900</v>
      </c>
      <c r="E19">
        <v>27</v>
      </c>
      <c r="F19">
        <v>27</v>
      </c>
      <c r="H19" t="s">
        <v>29</v>
      </c>
      <c r="I19">
        <f t="shared" ref="I19:P19" si="12">VLOOKUP(I$18,$B$17:$F$26,2,0)</f>
        <v>596475</v>
      </c>
      <c r="J19">
        <f t="shared" si="12"/>
        <v>0</v>
      </c>
      <c r="K19">
        <f t="shared" si="12"/>
        <v>1608390</v>
      </c>
      <c r="L19">
        <f t="shared" si="12"/>
        <v>114640</v>
      </c>
      <c r="M19">
        <f t="shared" si="12"/>
        <v>5780</v>
      </c>
      <c r="N19">
        <f t="shared" si="12"/>
        <v>100932</v>
      </c>
      <c r="O19">
        <f t="shared" si="12"/>
        <v>423450</v>
      </c>
      <c r="P19">
        <f t="shared" si="12"/>
        <v>442785</v>
      </c>
    </row>
    <row r="20" spans="2:16" x14ac:dyDescent="0.25">
      <c r="B20" s="25" t="s">
        <v>54</v>
      </c>
      <c r="C20">
        <v>0</v>
      </c>
      <c r="D20" s="14">
        <v>0</v>
      </c>
      <c r="E20">
        <v>27</v>
      </c>
      <c r="F20">
        <v>27</v>
      </c>
      <c r="H20" t="s">
        <v>30</v>
      </c>
      <c r="I20" s="14">
        <f t="shared" ref="I20:P20" si="13">I21-I19</f>
        <v>448425</v>
      </c>
      <c r="J20" s="14">
        <f t="shared" si="13"/>
        <v>0</v>
      </c>
      <c r="K20" s="14">
        <f t="shared" si="13"/>
        <v>3701250</v>
      </c>
      <c r="L20" s="14">
        <f t="shared" si="13"/>
        <v>492176</v>
      </c>
      <c r="M20" s="14">
        <f t="shared" si="13"/>
        <v>112900</v>
      </c>
      <c r="N20" s="14">
        <f t="shared" si="13"/>
        <v>202218</v>
      </c>
      <c r="O20" s="14">
        <f t="shared" si="13"/>
        <v>390153.00000000012</v>
      </c>
      <c r="P20" s="14">
        <f t="shared" si="13"/>
        <v>238335</v>
      </c>
    </row>
    <row r="21" spans="2:16" x14ac:dyDescent="0.25">
      <c r="B21" s="25" t="s">
        <v>55</v>
      </c>
      <c r="C21">
        <v>1608390</v>
      </c>
      <c r="D21" s="14">
        <v>5309640</v>
      </c>
      <c r="E21">
        <v>27</v>
      </c>
      <c r="F21">
        <v>27</v>
      </c>
      <c r="H21" t="s">
        <v>15</v>
      </c>
      <c r="I21" s="14">
        <f>VLOOKUP(I$18,$B$17:$F$27,3,0)*KPI!$H$45/KPI!$H$46</f>
        <v>1044900</v>
      </c>
      <c r="J21" s="14">
        <f>VLOOKUP(J$18,$B$17:$F$27,3,0)*KPI!$H$45/KPI!$H$46</f>
        <v>0</v>
      </c>
      <c r="K21" s="14">
        <f>VLOOKUP(K$18,$B$17:$F$27,3,0)*KPI!$H$45/KPI!$H$46</f>
        <v>5309640</v>
      </c>
      <c r="L21" s="14">
        <f>VLOOKUP(L$18,$B$17:$F$27,3,0)*KPI!$H$45/KPI!$H$46</f>
        <v>606816</v>
      </c>
      <c r="M21" s="14">
        <f>VLOOKUP(M$18,$B$17:$F$27,3,0)*KPI!$H$45/KPI!$H$46</f>
        <v>118680</v>
      </c>
      <c r="N21" s="14">
        <f>VLOOKUP(N$18,$B$17:$F$27,3,0)*KPI!$H$45/KPI!$H$46</f>
        <v>303150</v>
      </c>
      <c r="O21" s="14">
        <f>VLOOKUP(O$18,$B$17:$F$27,3,0)*KPI!$H$45/KPI!$H$46</f>
        <v>813603.00000000012</v>
      </c>
      <c r="P21" s="14">
        <f>VLOOKUP(P$18,$B$17:$F$27,3,0)*KPI!$H$45/KPI!$H$46</f>
        <v>681120</v>
      </c>
    </row>
    <row r="22" spans="2:16" ht="15.75" x14ac:dyDescent="0.25">
      <c r="B22" s="25" t="s">
        <v>56</v>
      </c>
      <c r="C22">
        <v>114640</v>
      </c>
      <c r="D22" s="14">
        <v>606816</v>
      </c>
      <c r="E22">
        <v>27</v>
      </c>
      <c r="F22">
        <v>27</v>
      </c>
      <c r="H22" t="s">
        <v>37</v>
      </c>
      <c r="I22" s="26">
        <f t="shared" ref="I22:P22" si="14">IFERROR(I19/I21,"0")</f>
        <v>0.57084409991386731</v>
      </c>
      <c r="J22" s="26" t="str">
        <f t="shared" si="14"/>
        <v>0</v>
      </c>
      <c r="K22" s="26">
        <f t="shared" si="14"/>
        <v>0.30291884195538682</v>
      </c>
      <c r="L22" s="26">
        <f t="shared" si="14"/>
        <v>0.18892052945209092</v>
      </c>
      <c r="M22" s="26">
        <f t="shared" si="14"/>
        <v>4.8702392989551736E-2</v>
      </c>
      <c r="N22" s="26">
        <f t="shared" si="14"/>
        <v>0.33294408708560119</v>
      </c>
      <c r="O22" s="26">
        <f t="shared" si="14"/>
        <v>0.52046268265972462</v>
      </c>
      <c r="P22" s="26">
        <f t="shared" si="14"/>
        <v>0.65008368569415076</v>
      </c>
    </row>
    <row r="23" spans="2:16" x14ac:dyDescent="0.25">
      <c r="B23" s="25" t="s">
        <v>57</v>
      </c>
      <c r="C23">
        <v>5780</v>
      </c>
      <c r="D23" s="14">
        <v>118680</v>
      </c>
      <c r="E23">
        <v>27</v>
      </c>
      <c r="F23">
        <v>27</v>
      </c>
      <c r="H23" t="s">
        <v>38</v>
      </c>
      <c r="I23" s="14">
        <f t="shared" ref="I23:P23" si="15">I19-I21</f>
        <v>-448425</v>
      </c>
      <c r="J23" s="14">
        <f t="shared" si="15"/>
        <v>0</v>
      </c>
      <c r="K23" s="14">
        <f t="shared" si="15"/>
        <v>-3701250</v>
      </c>
      <c r="L23" s="14">
        <f t="shared" si="15"/>
        <v>-492176</v>
      </c>
      <c r="M23" s="14">
        <f t="shared" si="15"/>
        <v>-112900</v>
      </c>
      <c r="N23" s="14">
        <f t="shared" si="15"/>
        <v>-202218</v>
      </c>
      <c r="O23" s="14">
        <f t="shared" si="15"/>
        <v>-390153.00000000012</v>
      </c>
      <c r="P23" s="14">
        <f t="shared" si="15"/>
        <v>-238335</v>
      </c>
    </row>
    <row r="24" spans="2:16" ht="15.75" x14ac:dyDescent="0.25">
      <c r="B24" s="25" t="s">
        <v>58</v>
      </c>
      <c r="C24">
        <v>100932</v>
      </c>
      <c r="D24" s="14">
        <v>303150</v>
      </c>
      <c r="E24">
        <v>27</v>
      </c>
      <c r="F24">
        <v>27</v>
      </c>
      <c r="I24" s="29" t="str">
        <f t="shared" ref="I24:P24" si="16">IF(I23&gt;=0,"LEBIH","")</f>
        <v/>
      </c>
      <c r="J24" s="29" t="str">
        <f t="shared" si="16"/>
        <v>LEBIH</v>
      </c>
      <c r="K24" s="29" t="str">
        <f t="shared" si="16"/>
        <v/>
      </c>
      <c r="L24" s="29" t="str">
        <f t="shared" si="16"/>
        <v/>
      </c>
      <c r="M24" s="29" t="str">
        <f t="shared" si="16"/>
        <v/>
      </c>
      <c r="N24" s="29" t="str">
        <f t="shared" si="16"/>
        <v/>
      </c>
      <c r="O24" s="29" t="str">
        <f t="shared" si="16"/>
        <v/>
      </c>
      <c r="P24" s="29" t="str">
        <f t="shared" si="16"/>
        <v/>
      </c>
    </row>
    <row r="25" spans="2:16" ht="15.75" x14ac:dyDescent="0.25">
      <c r="B25" s="25" t="s">
        <v>59</v>
      </c>
      <c r="C25">
        <v>423450</v>
      </c>
      <c r="D25" s="14">
        <v>813603</v>
      </c>
      <c r="E25">
        <v>27</v>
      </c>
      <c r="F25">
        <v>27</v>
      </c>
      <c r="I25" s="30" t="str">
        <f t="shared" ref="I25:P25" si="17">IF(I23&lt;0,"KURANG","")</f>
        <v>KURANG</v>
      </c>
      <c r="J25" s="30" t="str">
        <f t="shared" si="17"/>
        <v/>
      </c>
      <c r="K25" s="30" t="str">
        <f t="shared" si="17"/>
        <v>KURANG</v>
      </c>
      <c r="L25" s="30" t="str">
        <f t="shared" si="17"/>
        <v>KURANG</v>
      </c>
      <c r="M25" s="30" t="str">
        <f t="shared" si="17"/>
        <v>KURANG</v>
      </c>
      <c r="N25" s="30" t="str">
        <f t="shared" si="17"/>
        <v>KURANG</v>
      </c>
      <c r="O25" s="30" t="str">
        <f t="shared" si="17"/>
        <v>KURANG</v>
      </c>
      <c r="P25" s="30" t="str">
        <f t="shared" si="17"/>
        <v>KURANG</v>
      </c>
    </row>
    <row r="26" spans="2:16" ht="15.75" x14ac:dyDescent="0.25">
      <c r="B26" s="25" t="s">
        <v>60</v>
      </c>
      <c r="C26">
        <v>442785</v>
      </c>
      <c r="D26" s="14">
        <v>681120</v>
      </c>
      <c r="E26">
        <v>27</v>
      </c>
      <c r="F26">
        <v>27</v>
      </c>
      <c r="I26" s="31" t="str">
        <f>IF(I$23&gt;=0,CONCATENATE(TEXT(_xlfn.CEILING.MATH(I$23),"#,##0"), " Pcs"),"")</f>
        <v/>
      </c>
      <c r="J26" s="31" t="str">
        <f t="shared" ref="J26:P26" si="18">IF(J$23&gt;=0,CONCATENATE(TEXT(_xlfn.CEILING.MATH(J$23),"#,##0"), " Pcs"),"")</f>
        <v>0 Pcs</v>
      </c>
      <c r="K26" s="31" t="str">
        <f t="shared" si="18"/>
        <v/>
      </c>
      <c r="L26" s="31" t="str">
        <f t="shared" si="18"/>
        <v/>
      </c>
      <c r="M26" s="31" t="str">
        <f t="shared" si="18"/>
        <v/>
      </c>
      <c r="N26" s="31" t="str">
        <f t="shared" si="18"/>
        <v/>
      </c>
      <c r="O26" s="31" t="str">
        <f t="shared" si="18"/>
        <v/>
      </c>
      <c r="P26" s="31" t="str">
        <f t="shared" si="18"/>
        <v/>
      </c>
    </row>
    <row r="27" spans="2:16" ht="15.75" x14ac:dyDescent="0.25">
      <c r="B27" s="61" t="s">
        <v>0</v>
      </c>
      <c r="C27">
        <v>3292452</v>
      </c>
      <c r="D27" s="14">
        <v>8877909</v>
      </c>
      <c r="E27">
        <v>27</v>
      </c>
      <c r="F27">
        <v>27</v>
      </c>
      <c r="I27" s="32" t="str">
        <f>IF(I$23&lt;0,CONCATENATE(TEXT(_xlfn.CEILING.MATH(ABS(I$23)),"#,##0")," Pcs"),"")</f>
        <v>448,425 Pcs</v>
      </c>
      <c r="J27" s="32" t="str">
        <f t="shared" ref="J27:P27" si="19">IF(J$23&lt;0,CONCATENATE(TEXT(_xlfn.CEILING.MATH(ABS(J$23)),"#,##0")," Pcs"),"")</f>
        <v/>
      </c>
      <c r="K27" s="32" t="str">
        <f t="shared" si="19"/>
        <v>3,701,250 Pcs</v>
      </c>
      <c r="L27" s="32" t="str">
        <f t="shared" si="19"/>
        <v>492,176 Pcs</v>
      </c>
      <c r="M27" s="32" t="str">
        <f t="shared" si="19"/>
        <v>112,900 Pcs</v>
      </c>
      <c r="N27" s="32" t="str">
        <f t="shared" si="19"/>
        <v>202,218 Pcs</v>
      </c>
      <c r="O27" s="32" t="str">
        <f t="shared" si="19"/>
        <v>390,153 Pcs</v>
      </c>
      <c r="P27" s="32" t="str">
        <f t="shared" si="19"/>
        <v>238,335 Pcs</v>
      </c>
    </row>
    <row r="28" spans="2:16" ht="15.75" x14ac:dyDescent="0.25">
      <c r="H28" t="s">
        <v>50</v>
      </c>
      <c r="I28" s="62" t="str">
        <f>IF(I$22&gt;0.9,I$22,"")</f>
        <v/>
      </c>
      <c r="J28" s="62" t="str">
        <f t="shared" ref="J28:P28" si="20">IF(J$22&gt;0.9,J$22,"")</f>
        <v>0</v>
      </c>
      <c r="K28" s="62" t="str">
        <f t="shared" si="20"/>
        <v/>
      </c>
      <c r="L28" s="62" t="str">
        <f t="shared" si="20"/>
        <v/>
      </c>
      <c r="M28" s="62" t="str">
        <f t="shared" si="20"/>
        <v/>
      </c>
      <c r="N28" s="62" t="str">
        <f t="shared" si="20"/>
        <v/>
      </c>
      <c r="O28" s="62" t="str">
        <f t="shared" si="20"/>
        <v/>
      </c>
      <c r="P28" s="62" t="str">
        <f t="shared" si="20"/>
        <v/>
      </c>
    </row>
    <row r="29" spans="2:16" ht="15.75" x14ac:dyDescent="0.25">
      <c r="H29" t="s">
        <v>51</v>
      </c>
      <c r="I29" s="65" t="str">
        <f>IF(AND(I$22&gt;0.85,I$22&lt;=0.9),I$22,"")</f>
        <v/>
      </c>
      <c r="J29" s="65" t="str">
        <f t="shared" ref="J29:P29" si="21">IF(AND(J$22&gt;0.85,J$22&lt;=0.9),J$22,"")</f>
        <v/>
      </c>
      <c r="K29" s="65" t="str">
        <f t="shared" si="21"/>
        <v/>
      </c>
      <c r="L29" s="65" t="str">
        <f t="shared" si="21"/>
        <v/>
      </c>
      <c r="M29" s="65" t="str">
        <f t="shared" si="21"/>
        <v/>
      </c>
      <c r="N29" s="65" t="str">
        <f t="shared" si="21"/>
        <v/>
      </c>
      <c r="O29" s="65" t="str">
        <f t="shared" si="21"/>
        <v/>
      </c>
      <c r="P29" s="65" t="str">
        <f t="shared" si="21"/>
        <v/>
      </c>
    </row>
    <row r="30" spans="2:16" s="33" customFormat="1" ht="15.75" x14ac:dyDescent="0.25">
      <c r="B30"/>
      <c r="C30"/>
      <c r="D30"/>
      <c r="E30"/>
      <c r="F30"/>
      <c r="H30" t="s">
        <v>52</v>
      </c>
      <c r="I30" s="63">
        <f>IF(I$22&lt;=0.85,I$22,"")</f>
        <v>0.57084409991386731</v>
      </c>
      <c r="J30" s="63" t="str">
        <f t="shared" ref="J30:P30" si="22">IF(J$22&lt;=0.85,J$22,"")</f>
        <v/>
      </c>
      <c r="K30" s="63">
        <f t="shared" si="22"/>
        <v>0.30291884195538682</v>
      </c>
      <c r="L30" s="63">
        <f t="shared" si="22"/>
        <v>0.18892052945209092</v>
      </c>
      <c r="M30" s="63">
        <f t="shared" si="22"/>
        <v>4.8702392989551736E-2</v>
      </c>
      <c r="N30" s="63">
        <f t="shared" si="22"/>
        <v>0.33294408708560119</v>
      </c>
      <c r="O30" s="63">
        <f t="shared" si="22"/>
        <v>0.52046268265972462</v>
      </c>
      <c r="P30" s="63">
        <f t="shared" si="22"/>
        <v>0.65008368569415076</v>
      </c>
    </row>
    <row r="34" spans="8:16" ht="26.25" x14ac:dyDescent="0.4">
      <c r="I34" s="72" t="str">
        <f>IF(VLOOKUP(I$18,$B$17:$F$27,4,0)+1&lt;=VLOOKUP(I$18,$B$17:$F$27,5,0),"Produksi Minimal Untuk Besok Hari","Produksi Minimal Hari Ini (Akhir Bulan)")</f>
        <v>Produksi Minimal Hari Ini (Akhir Bulan)</v>
      </c>
      <c r="J34" s="72"/>
      <c r="K34" s="72"/>
      <c r="L34" s="72"/>
      <c r="M34" s="72"/>
      <c r="N34" s="72"/>
      <c r="O34" s="72"/>
      <c r="P34" s="72"/>
    </row>
    <row r="35" spans="8:16" ht="15.75" x14ac:dyDescent="0.25">
      <c r="H35" s="33"/>
      <c r="I35" s="33" t="str">
        <f>$B19</f>
        <v>LINE A</v>
      </c>
      <c r="J35" s="33" t="str">
        <f>$B20</f>
        <v>LINE B</v>
      </c>
      <c r="K35" s="33" t="str">
        <f>$B21</f>
        <v>LINE C</v>
      </c>
      <c r="L35" s="33" t="str">
        <f>$B22</f>
        <v>LINE D</v>
      </c>
      <c r="M35" s="33" t="str">
        <f>$B23</f>
        <v>LINE E</v>
      </c>
      <c r="N35" s="33" t="str">
        <f>$B24</f>
        <v>LINE F</v>
      </c>
      <c r="O35" s="33" t="str">
        <f>$B25</f>
        <v>LINE G</v>
      </c>
      <c r="P35" s="33" t="str">
        <f>$B26</f>
        <v>LINE H</v>
      </c>
    </row>
    <row r="36" spans="8:16" x14ac:dyDescent="0.25">
      <c r="H36" t="s">
        <v>29</v>
      </c>
      <c r="I36">
        <f t="shared" ref="I36:P36" si="23">VLOOKUP(I$18,$B$17:$F$26,2,0)</f>
        <v>596475</v>
      </c>
      <c r="J36">
        <f t="shared" si="23"/>
        <v>0</v>
      </c>
      <c r="K36">
        <f t="shared" si="23"/>
        <v>1608390</v>
      </c>
      <c r="L36">
        <f t="shared" si="23"/>
        <v>114640</v>
      </c>
      <c r="M36">
        <f t="shared" si="23"/>
        <v>5780</v>
      </c>
      <c r="N36">
        <f t="shared" si="23"/>
        <v>100932</v>
      </c>
      <c r="O36">
        <f t="shared" si="23"/>
        <v>423450</v>
      </c>
      <c r="P36">
        <f t="shared" si="23"/>
        <v>442785</v>
      </c>
    </row>
    <row r="37" spans="8:16" ht="21" x14ac:dyDescent="0.35">
      <c r="H37" t="s">
        <v>30</v>
      </c>
      <c r="I37" s="34" t="str">
        <f t="shared" ref="I37:P37" ca="1" si="24">TEXT(_xlfn.CEILING.MATH(I38-I36),"#,##0")</f>
        <v>448,425</v>
      </c>
      <c r="J37" s="34" t="str">
        <f t="shared" ca="1" si="24"/>
        <v>0</v>
      </c>
      <c r="K37" s="34" t="str">
        <f t="shared" ca="1" si="24"/>
        <v>3,701,250</v>
      </c>
      <c r="L37" s="34" t="str">
        <f t="shared" ca="1" si="24"/>
        <v>492,176</v>
      </c>
      <c r="M37" s="34" t="str">
        <f t="shared" ca="1" si="24"/>
        <v>112,900</v>
      </c>
      <c r="N37" s="34" t="str">
        <f t="shared" ca="1" si="24"/>
        <v>202,218</v>
      </c>
      <c r="O37" s="34" t="str">
        <f t="shared" ca="1" si="24"/>
        <v>390,153</v>
      </c>
      <c r="P37" s="34" t="str">
        <f t="shared" ca="1" si="24"/>
        <v>238,335</v>
      </c>
    </row>
    <row r="38" spans="8:16" x14ac:dyDescent="0.25">
      <c r="H38" t="s">
        <v>15</v>
      </c>
      <c r="I38" s="14">
        <f ca="1">VLOOKUP(I$18,$B$17:$F$27,3,0)*IF(KPI!$H$45+KPI!$H$48&gt;KPI!$H$46,KPI!$H$45,KPI!$H$45+KPI!$H$48)/KPI!$H$46</f>
        <v>1044900</v>
      </c>
      <c r="J38" s="14">
        <f ca="1">VLOOKUP(J$18,$B$17:$F$27,3,0)*IF(KPI!$H$45+KPI!$H$48&gt;KPI!$H$46,KPI!$H$45,KPI!$H$45+KPI!$H$48)/KPI!$H$46</f>
        <v>0</v>
      </c>
      <c r="K38" s="14">
        <f ca="1">VLOOKUP(K$18,$B$17:$F$27,3,0)*IF(KPI!$H$45+KPI!$H$48&gt;KPI!$H$46,KPI!$H$45,KPI!$H$45+KPI!$H$48)/KPI!$H$46</f>
        <v>5309640</v>
      </c>
      <c r="L38" s="14">
        <f ca="1">VLOOKUP(L$18,$B$17:$F$27,3,0)*IF(KPI!$H$45+KPI!$H$48&gt;KPI!$H$46,KPI!$H$45,KPI!$H$45+KPI!$H$48)/KPI!$H$46</f>
        <v>606816</v>
      </c>
      <c r="M38" s="14">
        <f ca="1">VLOOKUP(M$18,$B$17:$F$27,3,0)*IF(KPI!$H$45+KPI!$H$48&gt;KPI!$H$46,KPI!$H$45,KPI!$H$45+KPI!$H$48)/KPI!$H$46</f>
        <v>118680</v>
      </c>
      <c r="N38" s="14">
        <f ca="1">VLOOKUP(N$18,$B$17:$F$27,3,0)*IF(KPI!$H$45+KPI!$H$48&gt;KPI!$H$46,KPI!$H$45,KPI!$H$45+KPI!$H$48)/KPI!$H$46</f>
        <v>303150</v>
      </c>
      <c r="O38" s="14">
        <f ca="1">VLOOKUP(O$18,$B$17:$F$27,3,0)*IF(KPI!$H$45+KPI!$H$48&gt;KPI!$H$46,KPI!$H$45,KPI!$H$45+KPI!$H$48)/KPI!$H$46</f>
        <v>813603.00000000012</v>
      </c>
      <c r="P38" s="14">
        <f ca="1">VLOOKUP(P$18,$B$17:$F$27,3,0)*IF(KPI!$H$45+KPI!$H$48&gt;KPI!$H$46,KPI!$H$45,KPI!$H$45+KPI!$H$48)/KPI!$H$46</f>
        <v>681120</v>
      </c>
    </row>
    <row r="39" spans="8:16" ht="15.75" x14ac:dyDescent="0.25">
      <c r="H39" t="s">
        <v>37</v>
      </c>
      <c r="I39" s="26">
        <f ca="1">IFERROR(I36/I38,"0")</f>
        <v>0.57084409991386731</v>
      </c>
      <c r="J39" s="26" t="str">
        <f ca="1">IFERROR(J36/J38,"0")</f>
        <v>0</v>
      </c>
      <c r="K39" s="26">
        <f ca="1">IFERROR(K36/K38,"0")</f>
        <v>0.30291884195538682</v>
      </c>
      <c r="L39" s="26">
        <f ca="1">IFERROR(L36/L38,"0")</f>
        <v>0.18892052945209092</v>
      </c>
      <c r="M39" s="26">
        <f t="shared" ref="M39" ca="1" si="25">IFERROR(M36/M38,"0")</f>
        <v>4.8702392989551736E-2</v>
      </c>
      <c r="N39" s="26">
        <f t="shared" ref="N39" ca="1" si="26">IFERROR(N36/N38,"0")</f>
        <v>0.33294408708560119</v>
      </c>
      <c r="O39" s="26">
        <f t="shared" ref="O39" ca="1" si="27">IFERROR(O36/O38,"0")</f>
        <v>0.52046268265972462</v>
      </c>
      <c r="P39" s="26">
        <f t="shared" ref="P39" ca="1" si="28">IFERROR(P36/P38,"0")</f>
        <v>0.65008368569415076</v>
      </c>
    </row>
    <row r="40" spans="8:16" x14ac:dyDescent="0.25">
      <c r="H40" t="s">
        <v>38</v>
      </c>
      <c r="I40" s="14">
        <f ca="1">I36-I38</f>
        <v>-448425</v>
      </c>
      <c r="J40" s="14">
        <f ca="1">J36-J38</f>
        <v>0</v>
      </c>
      <c r="K40" s="14">
        <f ca="1">K36-K38</f>
        <v>-3701250</v>
      </c>
      <c r="L40" s="14">
        <f ca="1">L36-L38</f>
        <v>-492176</v>
      </c>
      <c r="M40" s="14">
        <f t="shared" ref="M40:P40" ca="1" si="29">M36-M38</f>
        <v>-112900</v>
      </c>
      <c r="N40" s="14">
        <f t="shared" ca="1" si="29"/>
        <v>-202218</v>
      </c>
      <c r="O40" s="14">
        <f t="shared" ca="1" si="29"/>
        <v>-390153.00000000012</v>
      </c>
      <c r="P40" s="14">
        <f t="shared" ca="1" si="29"/>
        <v>-238335</v>
      </c>
    </row>
    <row r="41" spans="8:16" ht="15.75" x14ac:dyDescent="0.25">
      <c r="I41" s="29" t="str">
        <f ca="1">IF(I40&gt;=0,"LEBIH","")</f>
        <v/>
      </c>
      <c r="J41" s="29" t="str">
        <f t="shared" ref="J41:P41" ca="1" si="30">IF(J40&gt;=0,"LEBIH","")</f>
        <v>LEBIH</v>
      </c>
      <c r="K41" s="29" t="str">
        <f t="shared" ca="1" si="30"/>
        <v/>
      </c>
      <c r="L41" s="29" t="str">
        <f t="shared" ca="1" si="30"/>
        <v/>
      </c>
      <c r="M41" s="29" t="str">
        <f t="shared" ca="1" si="30"/>
        <v/>
      </c>
      <c r="N41" s="29" t="str">
        <f t="shared" ca="1" si="30"/>
        <v/>
      </c>
      <c r="O41" s="29" t="str">
        <f t="shared" ca="1" si="30"/>
        <v/>
      </c>
      <c r="P41" s="29" t="str">
        <f t="shared" ca="1" si="30"/>
        <v/>
      </c>
    </row>
    <row r="42" spans="8:16" ht="15.75" x14ac:dyDescent="0.25">
      <c r="I42" s="30" t="str">
        <f ca="1">IF(I40&lt;0,"KURANG","")</f>
        <v>KURANG</v>
      </c>
      <c r="J42" s="30" t="str">
        <f t="shared" ref="J42:P42" ca="1" si="31">IF(J40&lt;0,"KURANG","")</f>
        <v/>
      </c>
      <c r="K42" s="30" t="str">
        <f t="shared" ca="1" si="31"/>
        <v>KURANG</v>
      </c>
      <c r="L42" s="30" t="str">
        <f t="shared" ca="1" si="31"/>
        <v>KURANG</v>
      </c>
      <c r="M42" s="30" t="str">
        <f t="shared" ca="1" si="31"/>
        <v>KURANG</v>
      </c>
      <c r="N42" s="30" t="str">
        <f t="shared" ca="1" si="31"/>
        <v>KURANG</v>
      </c>
      <c r="O42" s="30" t="str">
        <f t="shared" ca="1" si="31"/>
        <v>KURANG</v>
      </c>
      <c r="P42" s="30" t="str">
        <f t="shared" ca="1" si="31"/>
        <v>KURANG</v>
      </c>
    </row>
    <row r="43" spans="8:16" ht="15.75" x14ac:dyDescent="0.25">
      <c r="I43" s="31" t="str">
        <f ca="1">IF(I40&gt;=0,CONCATENATE(TEXT(_xlfn.CEILING.MATH(I40),"#,##0"), " Pcs"),"")</f>
        <v/>
      </c>
      <c r="J43" s="31" t="str">
        <f t="shared" ref="J43:P43" ca="1" si="32">IF(J40&gt;=0,CONCATENATE(TEXT(_xlfn.CEILING.MATH(J40),"#,##0"), " Pcs"),"")</f>
        <v>0 Pcs</v>
      </c>
      <c r="K43" s="31" t="str">
        <f t="shared" ca="1" si="32"/>
        <v/>
      </c>
      <c r="L43" s="31" t="str">
        <f t="shared" ca="1" si="32"/>
        <v/>
      </c>
      <c r="M43" s="31" t="str">
        <f t="shared" ca="1" si="32"/>
        <v/>
      </c>
      <c r="N43" s="31" t="str">
        <f t="shared" ca="1" si="32"/>
        <v/>
      </c>
      <c r="O43" s="31" t="str">
        <f t="shared" ca="1" si="32"/>
        <v/>
      </c>
      <c r="P43" s="31" t="str">
        <f t="shared" ca="1" si="32"/>
        <v/>
      </c>
    </row>
    <row r="44" spans="8:16" ht="15.75" x14ac:dyDescent="0.25">
      <c r="I44" s="32" t="str">
        <f t="shared" ref="I44:P44" ca="1" si="33">IF(I40&lt;0,TEXT(_xlfn.CEILING.MATH(ABS(I40)),"#,##0"),"")</f>
        <v>448,425</v>
      </c>
      <c r="J44" s="32" t="str">
        <f t="shared" ca="1" si="33"/>
        <v/>
      </c>
      <c r="K44" s="32" t="str">
        <f t="shared" ca="1" si="33"/>
        <v>3,701,250</v>
      </c>
      <c r="L44" s="32" t="str">
        <f t="shared" ca="1" si="33"/>
        <v>492,176</v>
      </c>
      <c r="M44" s="32" t="str">
        <f t="shared" ca="1" si="33"/>
        <v>112,900</v>
      </c>
      <c r="N44" s="32" t="str">
        <f t="shared" ca="1" si="33"/>
        <v>202,218</v>
      </c>
      <c r="O44" s="32" t="str">
        <f t="shared" ca="1" si="33"/>
        <v>390,153</v>
      </c>
      <c r="P44" s="32" t="str">
        <f t="shared" ca="1" si="33"/>
        <v>238,335</v>
      </c>
    </row>
  </sheetData>
  <mergeCells count="2">
    <mergeCell ref="I34:P34"/>
    <mergeCell ref="H17:P17"/>
  </mergeCell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4"/>
  </sheetPr>
  <dimension ref="A1:L97"/>
  <sheetViews>
    <sheetView showGridLines="0" workbookViewId="0">
      <selection activeCell="C16" sqref="C16"/>
    </sheetView>
  </sheetViews>
  <sheetFormatPr defaultRowHeight="15" x14ac:dyDescent="0.25"/>
  <cols>
    <col min="1" max="1" width="11" style="4" customWidth="1"/>
    <col min="2" max="2" width="10.85546875" bestFit="1" customWidth="1"/>
    <col min="3" max="4" width="12.85546875" customWidth="1"/>
    <col min="5" max="5" width="9.140625" style="14"/>
    <col min="7" max="7" width="9.140625" style="10"/>
    <col min="8" max="9" width="9.140625" style="60"/>
    <col min="12" max="12" width="15.85546875" bestFit="1" customWidth="1"/>
  </cols>
  <sheetData>
    <row r="1" spans="1:12" s="8" customFormat="1" x14ac:dyDescent="0.25">
      <c r="A1" s="7" t="s">
        <v>17</v>
      </c>
      <c r="B1" s="8" t="s">
        <v>13</v>
      </c>
      <c r="C1" s="8" t="s">
        <v>14</v>
      </c>
      <c r="D1" s="13" t="s">
        <v>15</v>
      </c>
      <c r="E1" s="8" t="s">
        <v>16</v>
      </c>
      <c r="F1" s="9" t="s">
        <v>18</v>
      </c>
      <c r="G1" s="59" t="s">
        <v>43</v>
      </c>
      <c r="H1" s="59" t="s">
        <v>44</v>
      </c>
      <c r="I1" s="8" t="s">
        <v>19</v>
      </c>
      <c r="J1" s="8" t="s">
        <v>20</v>
      </c>
    </row>
    <row r="2" spans="1:12" x14ac:dyDescent="0.25">
      <c r="A2" s="4">
        <v>45658</v>
      </c>
      <c r="B2" t="str">
        <f t="shared" ref="B2:B33" si="0">TEXT(A2,"m")</f>
        <v>1</v>
      </c>
      <c r="C2" t="s">
        <v>53</v>
      </c>
      <c r="D2">
        <v>1150000</v>
      </c>
      <c r="E2">
        <v>761772</v>
      </c>
      <c r="F2" s="10">
        <f>IFERROR(Table1[[#This Row],[Actual]]/Table1[[#This Row],[Target]],0)</f>
        <v>0.66241043478260875</v>
      </c>
      <c r="G2" s="60">
        <f t="shared" ref="G2:G33" ca="1" si="1">IFERROR(NETWORKDAYS.INTL(A2,IF(MONTH(A2)&lt;MONTH($K$2),EOMONTH(A2,0),IF(MONTH(A2)=MONTH($K$2),$K$2)),1),"")</f>
        <v>23</v>
      </c>
      <c r="H2" s="60">
        <f>NETWORKDAYS.INTL(Table1[[#This Row],[No Bulan]],EOMONTH(Table1[[#This Row],[No Bulan]],0),1)</f>
        <v>23</v>
      </c>
      <c r="I2">
        <f ca="1">IFERROR(NETWORKDAYS.INTL(A2,IF(MONTH(A2)&lt;MONTH($K$2),EOMONTH(A2,0),IF(MONTH(A2)=MONTH($K$2),$K$2)),11),"")</f>
        <v>27</v>
      </c>
      <c r="J2">
        <f>NETWORKDAYS.INTL(Table1[[#This Row],[No Bulan]],EOMONTH(Table1[[#This Row],[No Bulan]],0),11)</f>
        <v>27</v>
      </c>
      <c r="K2" s="6">
        <f ca="1">NOW()</f>
        <v>46313.941711689811</v>
      </c>
      <c r="L2" t="e">
        <f>MATCH(1,(#REF!=Table1[[#This Row],[Cat Design]])*(#REF!=Table1[[#This Row],[No Bulan]]),0)</f>
        <v>#REF!</v>
      </c>
    </row>
    <row r="3" spans="1:12" x14ac:dyDescent="0.25">
      <c r="A3" s="4">
        <f t="shared" ref="A3:A9" si="2">A2</f>
        <v>45658</v>
      </c>
      <c r="B3" t="str">
        <f t="shared" si="0"/>
        <v>1</v>
      </c>
      <c r="C3" t="s">
        <v>54</v>
      </c>
      <c r="D3">
        <v>0</v>
      </c>
      <c r="E3">
        <v>26824</v>
      </c>
      <c r="F3" s="10">
        <f>IFERROR(Table1[[#This Row],[Actual]]/Table1[[#This Row],[Target]],0)</f>
        <v>0</v>
      </c>
      <c r="G3" s="60">
        <f t="shared" ca="1" si="1"/>
        <v>23</v>
      </c>
      <c r="H3" s="60">
        <f>NETWORKDAYS.INTL(Table1[[#This Row],[No Bulan]],EOMONTH(Table1[[#This Row],[No Bulan]],0),1)</f>
        <v>23</v>
      </c>
      <c r="I3">
        <f t="shared" ref="I3:I33" ca="1" si="3">IFERROR(NETWORKDAYS.INTL(A3,IF(MONTH(A3)&lt;MONTH($K$2),EOMONTH(A3,0),IF(MONTH(A3)=MONTH($K$2),$K$2)),11),"")</f>
        <v>27</v>
      </c>
      <c r="J3">
        <f>NETWORKDAYS.INTL(Table1[[#This Row],[No Bulan]],EOMONTH(Table1[[#This Row],[No Bulan]],0),11)</f>
        <v>27</v>
      </c>
    </row>
    <row r="4" spans="1:12" x14ac:dyDescent="0.25">
      <c r="A4" s="4">
        <f t="shared" si="2"/>
        <v>45658</v>
      </c>
      <c r="B4" t="str">
        <f t="shared" si="0"/>
        <v>1</v>
      </c>
      <c r="C4" t="s">
        <v>55</v>
      </c>
      <c r="D4">
        <v>6311200</v>
      </c>
      <c r="E4">
        <v>2505650</v>
      </c>
      <c r="F4" s="10">
        <f>IFERROR(Table1[[#This Row],[Actual]]/Table1[[#This Row],[Target]],0)</f>
        <v>0.39701641526175685</v>
      </c>
      <c r="G4" s="60">
        <f t="shared" ca="1" si="1"/>
        <v>23</v>
      </c>
      <c r="H4" s="60">
        <f>NETWORKDAYS.INTL(Table1[[#This Row],[No Bulan]],EOMONTH(Table1[[#This Row],[No Bulan]],0),1)</f>
        <v>23</v>
      </c>
      <c r="I4">
        <f t="shared" ca="1" si="3"/>
        <v>27</v>
      </c>
      <c r="J4">
        <f>NETWORKDAYS.INTL(Table1[[#This Row],[No Bulan]],EOMONTH(Table1[[#This Row],[No Bulan]],0),11)</f>
        <v>27</v>
      </c>
    </row>
    <row r="5" spans="1:12" x14ac:dyDescent="0.25">
      <c r="A5" s="4">
        <f t="shared" si="2"/>
        <v>45658</v>
      </c>
      <c r="B5" t="str">
        <f t="shared" si="0"/>
        <v>1</v>
      </c>
      <c r="C5" t="s">
        <v>56</v>
      </c>
      <c r="D5">
        <v>552230</v>
      </c>
      <c r="E5">
        <v>107610</v>
      </c>
      <c r="F5" s="10">
        <f>IFERROR(Table1[[#This Row],[Actual]]/Table1[[#This Row],[Target]],0)</f>
        <v>0.19486445864947577</v>
      </c>
      <c r="G5" s="60">
        <f t="shared" ca="1" si="1"/>
        <v>23</v>
      </c>
      <c r="H5" s="60">
        <f>NETWORKDAYS.INTL(Table1[[#This Row],[No Bulan]],EOMONTH(Table1[[#This Row],[No Bulan]],0),1)</f>
        <v>23</v>
      </c>
      <c r="I5">
        <f t="shared" ca="1" si="3"/>
        <v>27</v>
      </c>
      <c r="J5">
        <f>NETWORKDAYS.INTL(Table1[[#This Row],[No Bulan]],EOMONTH(Table1[[#This Row],[No Bulan]],0),11)</f>
        <v>27</v>
      </c>
      <c r="K5" s="5"/>
    </row>
    <row r="6" spans="1:12" x14ac:dyDescent="0.25">
      <c r="A6" s="4">
        <f t="shared" si="2"/>
        <v>45658</v>
      </c>
      <c r="B6" t="str">
        <f t="shared" si="0"/>
        <v>1</v>
      </c>
      <c r="C6" t="s">
        <v>57</v>
      </c>
      <c r="D6">
        <v>0</v>
      </c>
      <c r="E6">
        <v>0</v>
      </c>
      <c r="F6" s="10">
        <f>IFERROR(Table1[[#This Row],[Actual]]/Table1[[#This Row],[Target]],0)</f>
        <v>0</v>
      </c>
      <c r="G6" s="60">
        <f t="shared" ca="1" si="1"/>
        <v>23</v>
      </c>
      <c r="H6" s="60">
        <f>NETWORKDAYS.INTL(Table1[[#This Row],[No Bulan]],EOMONTH(Table1[[#This Row],[No Bulan]],0),1)</f>
        <v>23</v>
      </c>
      <c r="I6">
        <f t="shared" ca="1" si="3"/>
        <v>27</v>
      </c>
      <c r="J6">
        <f>NETWORKDAYS.INTL(Table1[[#This Row],[No Bulan]],EOMONTH(Table1[[#This Row],[No Bulan]],0),11)</f>
        <v>27</v>
      </c>
    </row>
    <row r="7" spans="1:12" x14ac:dyDescent="0.25">
      <c r="A7" s="4">
        <f t="shared" si="2"/>
        <v>45658</v>
      </c>
      <c r="B7" t="str">
        <f t="shared" si="0"/>
        <v>1</v>
      </c>
      <c r="C7" t="s">
        <v>58</v>
      </c>
      <c r="D7">
        <v>230000</v>
      </c>
      <c r="E7">
        <v>229768</v>
      </c>
      <c r="F7" s="10">
        <f>IFERROR(Table1[[#This Row],[Actual]]/Table1[[#This Row],[Target]],0)</f>
        <v>0.99899130434782613</v>
      </c>
      <c r="G7" s="60">
        <f t="shared" ca="1" si="1"/>
        <v>23</v>
      </c>
      <c r="H7" s="60">
        <f>NETWORKDAYS.INTL(Table1[[#This Row],[No Bulan]],EOMONTH(Table1[[#This Row],[No Bulan]],0),1)</f>
        <v>23</v>
      </c>
      <c r="I7">
        <f t="shared" ca="1" si="3"/>
        <v>27</v>
      </c>
      <c r="J7">
        <f>NETWORKDAYS.INTL(Table1[[#This Row],[No Bulan]],EOMONTH(Table1[[#This Row],[No Bulan]],0),11)</f>
        <v>27</v>
      </c>
    </row>
    <row r="8" spans="1:12" x14ac:dyDescent="0.25">
      <c r="A8" s="4">
        <f t="shared" si="2"/>
        <v>45658</v>
      </c>
      <c r="B8" t="str">
        <f t="shared" si="0"/>
        <v>1</v>
      </c>
      <c r="C8" t="s">
        <v>59</v>
      </c>
      <c r="D8">
        <v>714150</v>
      </c>
      <c r="E8">
        <v>475090</v>
      </c>
      <c r="F8" s="10">
        <f>IFERROR(Table1[[#This Row],[Actual]]/Table1[[#This Row],[Target]],0)</f>
        <v>0.66525239795561153</v>
      </c>
      <c r="G8" s="60">
        <f t="shared" ca="1" si="1"/>
        <v>23</v>
      </c>
      <c r="H8" s="60">
        <f>NETWORKDAYS.INTL(Table1[[#This Row],[No Bulan]],EOMONTH(Table1[[#This Row],[No Bulan]],0),1)</f>
        <v>23</v>
      </c>
      <c r="I8">
        <f t="shared" ca="1" si="3"/>
        <v>27</v>
      </c>
      <c r="J8">
        <f>NETWORKDAYS.INTL(Table1[[#This Row],[No Bulan]],EOMONTH(Table1[[#This Row],[No Bulan]],0),11)</f>
        <v>27</v>
      </c>
    </row>
    <row r="9" spans="1:12" x14ac:dyDescent="0.25">
      <c r="A9" s="4">
        <f t="shared" si="2"/>
        <v>45658</v>
      </c>
      <c r="B9" t="str">
        <f t="shared" si="0"/>
        <v>1</v>
      </c>
      <c r="C9" t="s">
        <v>60</v>
      </c>
      <c r="D9">
        <v>303600</v>
      </c>
      <c r="E9">
        <v>28134</v>
      </c>
      <c r="F9" s="10">
        <f>IFERROR(Table1[[#This Row],[Actual]]/Table1[[#This Row],[Target]],0)</f>
        <v>9.2667984189723315E-2</v>
      </c>
      <c r="G9" s="60">
        <f t="shared" ca="1" si="1"/>
        <v>23</v>
      </c>
      <c r="H9" s="60">
        <f>NETWORKDAYS.INTL(Table1[[#This Row],[No Bulan]],EOMONTH(Table1[[#This Row],[No Bulan]],0),1)</f>
        <v>23</v>
      </c>
      <c r="I9">
        <f t="shared" ca="1" si="3"/>
        <v>27</v>
      </c>
      <c r="J9">
        <f>NETWORKDAYS.INTL(Table1[[#This Row],[No Bulan]],EOMONTH(Table1[[#This Row],[No Bulan]],0),11)</f>
        <v>27</v>
      </c>
      <c r="K9" s="11"/>
    </row>
    <row r="10" spans="1:12" x14ac:dyDescent="0.25">
      <c r="A10" s="4">
        <v>45689</v>
      </c>
      <c r="B10" t="str">
        <f t="shared" si="0"/>
        <v>2</v>
      </c>
      <c r="C10" t="s">
        <v>53</v>
      </c>
      <c r="D10">
        <v>789600</v>
      </c>
      <c r="E10">
        <v>1261150</v>
      </c>
      <c r="F10" s="10">
        <f>IFERROR(Table1[[#This Row],[Actual]]/Table1[[#This Row],[Target]],0)</f>
        <v>1.5972011144883485</v>
      </c>
      <c r="G10" s="60">
        <f t="shared" ca="1" si="1"/>
        <v>20</v>
      </c>
      <c r="H10" s="60">
        <f>NETWORKDAYS.INTL(Table1[[#This Row],[No Bulan]],EOMONTH(Table1[[#This Row],[No Bulan]],0),1)</f>
        <v>20</v>
      </c>
      <c r="I10">
        <f t="shared" ca="1" si="3"/>
        <v>24</v>
      </c>
      <c r="J10">
        <f>NETWORKDAYS.INTL(Table1[[#This Row],[No Bulan]],EOMONTH(Table1[[#This Row],[No Bulan]],0),11)</f>
        <v>24</v>
      </c>
    </row>
    <row r="11" spans="1:12" x14ac:dyDescent="0.25">
      <c r="A11" s="4">
        <f t="shared" ref="A11:A17" si="4">A10</f>
        <v>45689</v>
      </c>
      <c r="B11" t="str">
        <f t="shared" si="0"/>
        <v>2</v>
      </c>
      <c r="C11" t="s">
        <v>54</v>
      </c>
      <c r="D11">
        <v>0</v>
      </c>
      <c r="E11">
        <v>0</v>
      </c>
      <c r="F11" s="10">
        <f>IFERROR(Table1[[#This Row],[Actual]]/Table1[[#This Row],[Target]],0)</f>
        <v>0</v>
      </c>
      <c r="G11" s="60">
        <f t="shared" ca="1" si="1"/>
        <v>20</v>
      </c>
      <c r="H11" s="60">
        <f>NETWORKDAYS.INTL(Table1[[#This Row],[No Bulan]],EOMONTH(Table1[[#This Row],[No Bulan]],0),1)</f>
        <v>20</v>
      </c>
      <c r="I11">
        <f t="shared" ca="1" si="3"/>
        <v>24</v>
      </c>
      <c r="J11">
        <f>NETWORKDAYS.INTL(Table1[[#This Row],[No Bulan]],EOMONTH(Table1[[#This Row],[No Bulan]],0),11)</f>
        <v>24</v>
      </c>
    </row>
    <row r="12" spans="1:12" x14ac:dyDescent="0.25">
      <c r="A12" s="4">
        <f t="shared" si="4"/>
        <v>45689</v>
      </c>
      <c r="B12" t="str">
        <f t="shared" si="0"/>
        <v>2</v>
      </c>
      <c r="C12" t="s">
        <v>55</v>
      </c>
      <c r="D12">
        <v>4224000</v>
      </c>
      <c r="E12">
        <v>3963314</v>
      </c>
      <c r="F12" s="10">
        <f>IFERROR(Table1[[#This Row],[Actual]]/Table1[[#This Row],[Target]],0)</f>
        <v>0.93828456439393937</v>
      </c>
      <c r="G12" s="60">
        <f t="shared" ca="1" si="1"/>
        <v>20</v>
      </c>
      <c r="H12" s="60">
        <f>NETWORKDAYS.INTL(Table1[[#This Row],[No Bulan]],EOMONTH(Table1[[#This Row],[No Bulan]],0),1)</f>
        <v>20</v>
      </c>
      <c r="I12">
        <f t="shared" ca="1" si="3"/>
        <v>24</v>
      </c>
      <c r="J12">
        <f>NETWORKDAYS.INTL(Table1[[#This Row],[No Bulan]],EOMONTH(Table1[[#This Row],[No Bulan]],0),11)</f>
        <v>24</v>
      </c>
    </row>
    <row r="13" spans="1:12" x14ac:dyDescent="0.25">
      <c r="A13" s="4">
        <f t="shared" si="4"/>
        <v>45689</v>
      </c>
      <c r="B13" t="str">
        <f t="shared" si="0"/>
        <v>2</v>
      </c>
      <c r="C13" t="s">
        <v>56</v>
      </c>
      <c r="D13">
        <v>529200</v>
      </c>
      <c r="E13">
        <v>217930</v>
      </c>
      <c r="F13" s="10">
        <f>IFERROR(Table1[[#This Row],[Actual]]/Table1[[#This Row],[Target]],0)</f>
        <v>0.41181027966742251</v>
      </c>
      <c r="G13" s="60">
        <f t="shared" ca="1" si="1"/>
        <v>20</v>
      </c>
      <c r="H13" s="60">
        <f>NETWORKDAYS.INTL(Table1[[#This Row],[No Bulan]],EOMONTH(Table1[[#This Row],[No Bulan]],0),1)</f>
        <v>20</v>
      </c>
      <c r="I13">
        <f t="shared" ca="1" si="3"/>
        <v>24</v>
      </c>
      <c r="J13">
        <f>NETWORKDAYS.INTL(Table1[[#This Row],[No Bulan]],EOMONTH(Table1[[#This Row],[No Bulan]],0),11)</f>
        <v>24</v>
      </c>
    </row>
    <row r="14" spans="1:12" x14ac:dyDescent="0.25">
      <c r="A14" s="4">
        <f t="shared" si="4"/>
        <v>45689</v>
      </c>
      <c r="B14" t="str">
        <f t="shared" si="0"/>
        <v>2</v>
      </c>
      <c r="C14" t="s">
        <v>57</v>
      </c>
      <c r="D14">
        <v>0</v>
      </c>
      <c r="E14">
        <v>602</v>
      </c>
      <c r="F14" s="10">
        <f>IFERROR(Table1[[#This Row],[Actual]]/Table1[[#This Row],[Target]],0)</f>
        <v>0</v>
      </c>
      <c r="G14" s="60">
        <f t="shared" ca="1" si="1"/>
        <v>20</v>
      </c>
      <c r="H14" s="60">
        <f>NETWORKDAYS.INTL(Table1[[#This Row],[No Bulan]],EOMONTH(Table1[[#This Row],[No Bulan]],0),1)</f>
        <v>20</v>
      </c>
      <c r="I14">
        <f t="shared" ca="1" si="3"/>
        <v>24</v>
      </c>
      <c r="J14">
        <f>NETWORKDAYS.INTL(Table1[[#This Row],[No Bulan]],EOMONTH(Table1[[#This Row],[No Bulan]],0),11)</f>
        <v>24</v>
      </c>
    </row>
    <row r="15" spans="1:12" x14ac:dyDescent="0.25">
      <c r="A15" s="4">
        <f t="shared" si="4"/>
        <v>45689</v>
      </c>
      <c r="B15" t="str">
        <f t="shared" si="0"/>
        <v>2</v>
      </c>
      <c r="C15" t="s">
        <v>58</v>
      </c>
      <c r="D15">
        <v>238000</v>
      </c>
      <c r="E15">
        <v>244582</v>
      </c>
      <c r="F15" s="10">
        <f>IFERROR(Table1[[#This Row],[Actual]]/Table1[[#This Row],[Target]],0)</f>
        <v>1.0276554621848739</v>
      </c>
      <c r="G15" s="60">
        <f t="shared" ca="1" si="1"/>
        <v>20</v>
      </c>
      <c r="H15" s="60">
        <f>NETWORKDAYS.INTL(Table1[[#This Row],[No Bulan]],EOMONTH(Table1[[#This Row],[No Bulan]],0),1)</f>
        <v>20</v>
      </c>
      <c r="I15">
        <f t="shared" ca="1" si="3"/>
        <v>24</v>
      </c>
      <c r="J15">
        <f>NETWORKDAYS.INTL(Table1[[#This Row],[No Bulan]],EOMONTH(Table1[[#This Row],[No Bulan]],0),11)</f>
        <v>24</v>
      </c>
    </row>
    <row r="16" spans="1:12" x14ac:dyDescent="0.25">
      <c r="A16" s="4">
        <f t="shared" si="4"/>
        <v>45689</v>
      </c>
      <c r="B16" t="str">
        <f t="shared" si="0"/>
        <v>2</v>
      </c>
      <c r="C16" t="s">
        <v>59</v>
      </c>
      <c r="D16">
        <v>286700</v>
      </c>
      <c r="E16">
        <v>424600</v>
      </c>
      <c r="F16" s="10">
        <f>IFERROR(Table1[[#This Row],[Actual]]/Table1[[#This Row],[Target]],0)</f>
        <v>1.4809905824904082</v>
      </c>
      <c r="G16" s="60">
        <f t="shared" ca="1" si="1"/>
        <v>20</v>
      </c>
      <c r="H16" s="60">
        <f>NETWORKDAYS.INTL(Table1[[#This Row],[No Bulan]],EOMONTH(Table1[[#This Row],[No Bulan]],0),1)</f>
        <v>20</v>
      </c>
      <c r="I16">
        <f t="shared" ca="1" si="3"/>
        <v>24</v>
      </c>
      <c r="J16">
        <f>NETWORKDAYS.INTL(Table1[[#This Row],[No Bulan]],EOMONTH(Table1[[#This Row],[No Bulan]],0),11)</f>
        <v>24</v>
      </c>
    </row>
    <row r="17" spans="1:10" x14ac:dyDescent="0.25">
      <c r="A17" s="4">
        <f t="shared" si="4"/>
        <v>45689</v>
      </c>
      <c r="B17" t="str">
        <f t="shared" si="0"/>
        <v>2</v>
      </c>
      <c r="C17" t="s">
        <v>60</v>
      </c>
      <c r="D17">
        <v>564000</v>
      </c>
      <c r="E17">
        <v>217944</v>
      </c>
      <c r="F17" s="10">
        <f>IFERROR(Table1[[#This Row],[Actual]]/Table1[[#This Row],[Target]],0)</f>
        <v>0.38642553191489359</v>
      </c>
      <c r="G17" s="60">
        <f t="shared" ca="1" si="1"/>
        <v>20</v>
      </c>
      <c r="H17" s="60">
        <f>NETWORKDAYS.INTL(Table1[[#This Row],[No Bulan]],EOMONTH(Table1[[#This Row],[No Bulan]],0),1)</f>
        <v>20</v>
      </c>
      <c r="I17">
        <f t="shared" ca="1" si="3"/>
        <v>24</v>
      </c>
      <c r="J17">
        <f>NETWORKDAYS.INTL(Table1[[#This Row],[No Bulan]],EOMONTH(Table1[[#This Row],[No Bulan]],0),11)</f>
        <v>24</v>
      </c>
    </row>
    <row r="18" spans="1:10" x14ac:dyDescent="0.25">
      <c r="A18" s="4">
        <v>45717</v>
      </c>
      <c r="B18" t="str">
        <f t="shared" si="0"/>
        <v>3</v>
      </c>
      <c r="C18" t="s">
        <v>53</v>
      </c>
      <c r="D18">
        <v>1474200</v>
      </c>
      <c r="E18">
        <v>1421784</v>
      </c>
      <c r="F18" s="10">
        <f>IFERROR(Table1[[#This Row],[Actual]]/Table1[[#This Row],[Target]],0)</f>
        <v>0.96444444444444444</v>
      </c>
      <c r="G18" s="60">
        <f t="shared" ca="1" si="1"/>
        <v>21</v>
      </c>
      <c r="H18" s="60">
        <f>NETWORKDAYS.INTL(Table1[[#This Row],[No Bulan]],EOMONTH(Table1[[#This Row],[No Bulan]],0),1)</f>
        <v>21</v>
      </c>
      <c r="I18">
        <f t="shared" ca="1" si="3"/>
        <v>26</v>
      </c>
      <c r="J18">
        <f>NETWORKDAYS.INTL(Table1[[#This Row],[No Bulan]],EOMONTH(Table1[[#This Row],[No Bulan]],0),11)</f>
        <v>26</v>
      </c>
    </row>
    <row r="19" spans="1:10" x14ac:dyDescent="0.25">
      <c r="A19" s="4">
        <f t="shared" ref="A19:A25" si="5">A18</f>
        <v>45717</v>
      </c>
      <c r="B19" t="str">
        <f t="shared" si="0"/>
        <v>3</v>
      </c>
      <c r="C19" t="s">
        <v>54</v>
      </c>
      <c r="D19">
        <v>0</v>
      </c>
      <c r="E19">
        <v>19533</v>
      </c>
      <c r="F19" s="10">
        <f>IFERROR(Table1[[#This Row],[Actual]]/Table1[[#This Row],[Target]],0)</f>
        <v>0</v>
      </c>
      <c r="G19" s="60">
        <f t="shared" ca="1" si="1"/>
        <v>21</v>
      </c>
      <c r="H19" s="60">
        <f>NETWORKDAYS.INTL(Table1[[#This Row],[No Bulan]],EOMONTH(Table1[[#This Row],[No Bulan]],0),1)</f>
        <v>21</v>
      </c>
      <c r="I19">
        <f t="shared" ca="1" si="3"/>
        <v>26</v>
      </c>
      <c r="J19">
        <f>NETWORKDAYS.INTL(Table1[[#This Row],[No Bulan]],EOMONTH(Table1[[#This Row],[No Bulan]],0),11)</f>
        <v>26</v>
      </c>
    </row>
    <row r="20" spans="1:10" x14ac:dyDescent="0.25">
      <c r="A20" s="4">
        <f t="shared" si="5"/>
        <v>45717</v>
      </c>
      <c r="B20" t="str">
        <f t="shared" si="0"/>
        <v>3</v>
      </c>
      <c r="C20" t="s">
        <v>55</v>
      </c>
      <c r="D20">
        <v>5747700</v>
      </c>
      <c r="E20">
        <v>4647104</v>
      </c>
      <c r="F20" s="10">
        <f>IFERROR(Table1[[#This Row],[Actual]]/Table1[[#This Row],[Target]],0)</f>
        <v>0.80851540616246498</v>
      </c>
      <c r="G20" s="60">
        <f t="shared" ca="1" si="1"/>
        <v>21</v>
      </c>
      <c r="H20" s="60">
        <f>NETWORKDAYS.INTL(Table1[[#This Row],[No Bulan]],EOMONTH(Table1[[#This Row],[No Bulan]],0),1)</f>
        <v>21</v>
      </c>
      <c r="I20">
        <f t="shared" ca="1" si="3"/>
        <v>26</v>
      </c>
      <c r="J20">
        <f>NETWORKDAYS.INTL(Table1[[#This Row],[No Bulan]],EOMONTH(Table1[[#This Row],[No Bulan]],0),11)</f>
        <v>26</v>
      </c>
    </row>
    <row r="21" spans="1:10" x14ac:dyDescent="0.25">
      <c r="A21" s="4">
        <f t="shared" si="5"/>
        <v>45717</v>
      </c>
      <c r="B21" t="str">
        <f t="shared" si="0"/>
        <v>3</v>
      </c>
      <c r="C21" t="s">
        <v>56</v>
      </c>
      <c r="D21">
        <v>576240</v>
      </c>
      <c r="E21">
        <v>245680</v>
      </c>
      <c r="F21" s="10">
        <f>IFERROR(Table1[[#This Row],[Actual]]/Table1[[#This Row],[Target]],0)</f>
        <v>0.4263501318894905</v>
      </c>
      <c r="G21" s="60">
        <f t="shared" ca="1" si="1"/>
        <v>21</v>
      </c>
      <c r="H21" s="60">
        <f>NETWORKDAYS.INTL(Table1[[#This Row],[No Bulan]],EOMONTH(Table1[[#This Row],[No Bulan]],0),1)</f>
        <v>21</v>
      </c>
      <c r="I21">
        <f t="shared" ca="1" si="3"/>
        <v>26</v>
      </c>
      <c r="J21">
        <f>NETWORKDAYS.INTL(Table1[[#This Row],[No Bulan]],EOMONTH(Table1[[#This Row],[No Bulan]],0),11)</f>
        <v>26</v>
      </c>
    </row>
    <row r="22" spans="1:10" x14ac:dyDescent="0.25">
      <c r="A22" s="4">
        <f t="shared" si="5"/>
        <v>45717</v>
      </c>
      <c r="B22" t="str">
        <f t="shared" si="0"/>
        <v>3</v>
      </c>
      <c r="C22" t="s">
        <v>57</v>
      </c>
      <c r="D22">
        <v>58800</v>
      </c>
      <c r="E22">
        <v>0</v>
      </c>
      <c r="F22" s="10">
        <f>IFERROR(Table1[[#This Row],[Actual]]/Table1[[#This Row],[Target]],0)</f>
        <v>0</v>
      </c>
      <c r="G22" s="60">
        <f t="shared" ca="1" si="1"/>
        <v>21</v>
      </c>
      <c r="H22" s="60">
        <f>NETWORKDAYS.INTL(Table1[[#This Row],[No Bulan]],EOMONTH(Table1[[#This Row],[No Bulan]],0),1)</f>
        <v>21</v>
      </c>
      <c r="I22">
        <f t="shared" ca="1" si="3"/>
        <v>26</v>
      </c>
      <c r="J22">
        <f>NETWORKDAYS.INTL(Table1[[#This Row],[No Bulan]],EOMONTH(Table1[[#This Row],[No Bulan]],0),11)</f>
        <v>26</v>
      </c>
    </row>
    <row r="23" spans="1:10" x14ac:dyDescent="0.25">
      <c r="A23" s="4">
        <f t="shared" si="5"/>
        <v>45717</v>
      </c>
      <c r="B23" t="str">
        <f t="shared" si="0"/>
        <v>3</v>
      </c>
      <c r="C23" t="s">
        <v>58</v>
      </c>
      <c r="D23">
        <v>245700</v>
      </c>
      <c r="E23">
        <v>275050</v>
      </c>
      <c r="F23" s="10">
        <f>IFERROR(Table1[[#This Row],[Actual]]/Table1[[#This Row],[Target]],0)</f>
        <v>1.1194546194546195</v>
      </c>
      <c r="G23" s="60">
        <f t="shared" ca="1" si="1"/>
        <v>21</v>
      </c>
      <c r="H23" s="60">
        <f>NETWORKDAYS.INTL(Table1[[#This Row],[No Bulan]],EOMONTH(Table1[[#This Row],[No Bulan]],0),1)</f>
        <v>21</v>
      </c>
      <c r="I23">
        <f t="shared" ca="1" si="3"/>
        <v>26</v>
      </c>
      <c r="J23">
        <f>NETWORKDAYS.INTL(Table1[[#This Row],[No Bulan]],EOMONTH(Table1[[#This Row],[No Bulan]],0),11)</f>
        <v>26</v>
      </c>
    </row>
    <row r="24" spans="1:10" x14ac:dyDescent="0.25">
      <c r="A24" s="4">
        <f t="shared" si="5"/>
        <v>45717</v>
      </c>
      <c r="B24" t="str">
        <f t="shared" si="0"/>
        <v>3</v>
      </c>
      <c r="C24" t="s">
        <v>59</v>
      </c>
      <c r="D24">
        <v>476280</v>
      </c>
      <c r="E24">
        <v>396236</v>
      </c>
      <c r="F24" s="10">
        <f>IFERROR(Table1[[#This Row],[Actual]]/Table1[[#This Row],[Target]],0)</f>
        <v>0.83193919543125894</v>
      </c>
      <c r="G24" s="60">
        <f t="shared" ca="1" si="1"/>
        <v>21</v>
      </c>
      <c r="H24" s="60">
        <f>NETWORKDAYS.INTL(Table1[[#This Row],[No Bulan]],EOMONTH(Table1[[#This Row],[No Bulan]],0),1)</f>
        <v>21</v>
      </c>
      <c r="I24">
        <f t="shared" ca="1" si="3"/>
        <v>26</v>
      </c>
      <c r="J24">
        <f>NETWORKDAYS.INTL(Table1[[#This Row],[No Bulan]],EOMONTH(Table1[[#This Row],[No Bulan]],0),11)</f>
        <v>26</v>
      </c>
    </row>
    <row r="25" spans="1:10" x14ac:dyDescent="0.25">
      <c r="A25" s="4">
        <f t="shared" si="5"/>
        <v>45717</v>
      </c>
      <c r="B25" t="str">
        <f t="shared" si="0"/>
        <v>3</v>
      </c>
      <c r="C25" t="s">
        <v>60</v>
      </c>
      <c r="D25">
        <v>478800</v>
      </c>
      <c r="E25">
        <v>656370</v>
      </c>
      <c r="F25" s="10">
        <f>IFERROR(Table1[[#This Row],[Actual]]/Table1[[#This Row],[Target]],0)</f>
        <v>1.3708646616541353</v>
      </c>
      <c r="G25" s="60">
        <f t="shared" ca="1" si="1"/>
        <v>21</v>
      </c>
      <c r="H25" s="60">
        <f>NETWORKDAYS.INTL(Table1[[#This Row],[No Bulan]],EOMONTH(Table1[[#This Row],[No Bulan]],0),1)</f>
        <v>21</v>
      </c>
      <c r="I25">
        <f t="shared" ca="1" si="3"/>
        <v>26</v>
      </c>
      <c r="J25">
        <f>NETWORKDAYS.INTL(Table1[[#This Row],[No Bulan]],EOMONTH(Table1[[#This Row],[No Bulan]],0),11)</f>
        <v>26</v>
      </c>
    </row>
    <row r="26" spans="1:10" x14ac:dyDescent="0.25">
      <c r="A26" s="4">
        <v>45748</v>
      </c>
      <c r="B26" t="str">
        <f t="shared" si="0"/>
        <v>4</v>
      </c>
      <c r="C26" t="s">
        <v>53</v>
      </c>
      <c r="D26">
        <v>1452000</v>
      </c>
      <c r="E26">
        <v>1121848</v>
      </c>
      <c r="F26" s="10">
        <f>IFERROR(Table1[[#This Row],[Actual]]/Table1[[#This Row],[Target]],0)</f>
        <v>0.77262258953168039</v>
      </c>
      <c r="G26" s="60">
        <f t="shared" ca="1" si="1"/>
        <v>22</v>
      </c>
      <c r="H26" s="60">
        <f>NETWORKDAYS.INTL(Table1[[#This Row],[No Bulan]],EOMONTH(Table1[[#This Row],[No Bulan]],0),1)</f>
        <v>22</v>
      </c>
      <c r="I26">
        <f t="shared" ca="1" si="3"/>
        <v>26</v>
      </c>
      <c r="J26">
        <f>NETWORKDAYS.INTL(Table1[[#This Row],[No Bulan]],EOMONTH(Table1[[#This Row],[No Bulan]],0),11)</f>
        <v>26</v>
      </c>
    </row>
    <row r="27" spans="1:10" x14ac:dyDescent="0.25">
      <c r="A27" s="4">
        <f t="shared" ref="A27:A33" si="6">A26</f>
        <v>45748</v>
      </c>
      <c r="B27" t="str">
        <f t="shared" si="0"/>
        <v>4</v>
      </c>
      <c r="C27" t="s">
        <v>54</v>
      </c>
      <c r="D27">
        <v>0</v>
      </c>
      <c r="E27">
        <v>0</v>
      </c>
      <c r="F27" s="10">
        <f>IFERROR(Table1[[#This Row],[Actual]]/Table1[[#This Row],[Target]],0)</f>
        <v>0</v>
      </c>
      <c r="G27" s="60">
        <f t="shared" ca="1" si="1"/>
        <v>22</v>
      </c>
      <c r="H27" s="60">
        <f>NETWORKDAYS.INTL(Table1[[#This Row],[No Bulan]],EOMONTH(Table1[[#This Row],[No Bulan]],0),1)</f>
        <v>22</v>
      </c>
      <c r="I27">
        <f t="shared" ca="1" si="3"/>
        <v>26</v>
      </c>
      <c r="J27">
        <f>NETWORKDAYS.INTL(Table1[[#This Row],[No Bulan]],EOMONTH(Table1[[#This Row],[No Bulan]],0),11)</f>
        <v>26</v>
      </c>
    </row>
    <row r="28" spans="1:10" x14ac:dyDescent="0.25">
      <c r="A28" s="4">
        <f t="shared" si="6"/>
        <v>45748</v>
      </c>
      <c r="B28" t="str">
        <f t="shared" si="0"/>
        <v>4</v>
      </c>
      <c r="C28" t="s">
        <v>55</v>
      </c>
      <c r="D28">
        <v>4664000</v>
      </c>
      <c r="E28">
        <v>4237104</v>
      </c>
      <c r="F28" s="10">
        <f>IFERROR(Table1[[#This Row],[Actual]]/Table1[[#This Row],[Target]],0)</f>
        <v>0.90846998284734137</v>
      </c>
      <c r="G28" s="60">
        <f t="shared" ca="1" si="1"/>
        <v>22</v>
      </c>
      <c r="H28" s="60">
        <f>NETWORKDAYS.INTL(Table1[[#This Row],[No Bulan]],EOMONTH(Table1[[#This Row],[No Bulan]],0),1)</f>
        <v>22</v>
      </c>
      <c r="I28">
        <f t="shared" ca="1" si="3"/>
        <v>26</v>
      </c>
      <c r="J28">
        <f>NETWORKDAYS.INTL(Table1[[#This Row],[No Bulan]],EOMONTH(Table1[[#This Row],[No Bulan]],0),11)</f>
        <v>26</v>
      </c>
    </row>
    <row r="29" spans="1:10" x14ac:dyDescent="0.25">
      <c r="A29" s="4">
        <f t="shared" si="6"/>
        <v>45748</v>
      </c>
      <c r="B29" t="str">
        <f t="shared" si="0"/>
        <v>4</v>
      </c>
      <c r="C29" t="s">
        <v>56</v>
      </c>
      <c r="D29">
        <v>409640</v>
      </c>
      <c r="E29">
        <v>274390</v>
      </c>
      <c r="F29" s="10">
        <f>IFERROR(Table1[[#This Row],[Actual]]/Table1[[#This Row],[Target]],0)</f>
        <v>0.66983204765159654</v>
      </c>
      <c r="G29" s="60">
        <f t="shared" ca="1" si="1"/>
        <v>22</v>
      </c>
      <c r="H29" s="60">
        <f>NETWORKDAYS.INTL(Table1[[#This Row],[No Bulan]],EOMONTH(Table1[[#This Row],[No Bulan]],0),1)</f>
        <v>22</v>
      </c>
      <c r="I29">
        <f t="shared" ca="1" si="3"/>
        <v>26</v>
      </c>
      <c r="J29">
        <f>NETWORKDAYS.INTL(Table1[[#This Row],[No Bulan]],EOMONTH(Table1[[#This Row],[No Bulan]],0),11)</f>
        <v>26</v>
      </c>
    </row>
    <row r="30" spans="1:10" x14ac:dyDescent="0.25">
      <c r="A30" s="4">
        <f t="shared" si="6"/>
        <v>45748</v>
      </c>
      <c r="B30" t="str">
        <f t="shared" si="0"/>
        <v>4</v>
      </c>
      <c r="C30" t="s">
        <v>57</v>
      </c>
      <c r="D30">
        <v>55000</v>
      </c>
      <c r="E30">
        <v>16016</v>
      </c>
      <c r="F30" s="10">
        <f>IFERROR(Table1[[#This Row],[Actual]]/Table1[[#This Row],[Target]],0)</f>
        <v>0.29120000000000001</v>
      </c>
      <c r="G30" s="60">
        <f t="shared" ca="1" si="1"/>
        <v>22</v>
      </c>
      <c r="H30" s="60">
        <f>NETWORKDAYS.INTL(Table1[[#This Row],[No Bulan]],EOMONTH(Table1[[#This Row],[No Bulan]],0),1)</f>
        <v>22</v>
      </c>
      <c r="I30">
        <f t="shared" ca="1" si="3"/>
        <v>26</v>
      </c>
      <c r="J30">
        <f>NETWORKDAYS.INTL(Table1[[#This Row],[No Bulan]],EOMONTH(Table1[[#This Row],[No Bulan]],0),11)</f>
        <v>26</v>
      </c>
    </row>
    <row r="31" spans="1:10" x14ac:dyDescent="0.25">
      <c r="A31" s="4">
        <f t="shared" si="6"/>
        <v>45748</v>
      </c>
      <c r="B31" t="str">
        <f t="shared" si="0"/>
        <v>4</v>
      </c>
      <c r="C31" t="s">
        <v>58</v>
      </c>
      <c r="D31">
        <v>300300</v>
      </c>
      <c r="E31">
        <v>288680</v>
      </c>
      <c r="F31" s="10">
        <f>IFERROR(Table1[[#This Row],[Actual]]/Table1[[#This Row],[Target]],0)</f>
        <v>0.96130536130536126</v>
      </c>
      <c r="G31" s="60">
        <f t="shared" ca="1" si="1"/>
        <v>22</v>
      </c>
      <c r="H31" s="60">
        <f>NETWORKDAYS.INTL(Table1[[#This Row],[No Bulan]],EOMONTH(Table1[[#This Row],[No Bulan]],0),1)</f>
        <v>22</v>
      </c>
      <c r="I31">
        <f t="shared" ca="1" si="3"/>
        <v>26</v>
      </c>
      <c r="J31">
        <f>NETWORKDAYS.INTL(Table1[[#This Row],[No Bulan]],EOMONTH(Table1[[#This Row],[No Bulan]],0),11)</f>
        <v>26</v>
      </c>
    </row>
    <row r="32" spans="1:10" x14ac:dyDescent="0.25">
      <c r="A32" s="4">
        <f t="shared" si="6"/>
        <v>45748</v>
      </c>
      <c r="B32" t="str">
        <f t="shared" si="0"/>
        <v>4</v>
      </c>
      <c r="C32" t="s">
        <v>59</v>
      </c>
      <c r="D32">
        <v>495000</v>
      </c>
      <c r="E32">
        <v>370668</v>
      </c>
      <c r="F32" s="10">
        <f>IFERROR(Table1[[#This Row],[Actual]]/Table1[[#This Row],[Target]],0)</f>
        <v>0.74882424242424239</v>
      </c>
      <c r="G32" s="60">
        <f t="shared" ca="1" si="1"/>
        <v>22</v>
      </c>
      <c r="H32" s="60">
        <f>NETWORKDAYS.INTL(Table1[[#This Row],[No Bulan]],EOMONTH(Table1[[#This Row],[No Bulan]],0),1)</f>
        <v>22</v>
      </c>
      <c r="I32">
        <f t="shared" ca="1" si="3"/>
        <v>26</v>
      </c>
      <c r="J32">
        <f>NETWORKDAYS.INTL(Table1[[#This Row],[No Bulan]],EOMONTH(Table1[[#This Row],[No Bulan]],0),11)</f>
        <v>26</v>
      </c>
    </row>
    <row r="33" spans="1:10" x14ac:dyDescent="0.25">
      <c r="A33" s="4">
        <f t="shared" si="6"/>
        <v>45748</v>
      </c>
      <c r="B33" t="str">
        <f t="shared" si="0"/>
        <v>4</v>
      </c>
      <c r="C33" t="s">
        <v>60</v>
      </c>
      <c r="D33">
        <v>501600</v>
      </c>
      <c r="E33">
        <v>318682</v>
      </c>
      <c r="F33" s="10">
        <f>IFERROR(Table1[[#This Row],[Actual]]/Table1[[#This Row],[Target]],0)</f>
        <v>0.63533094098883569</v>
      </c>
      <c r="G33" s="60">
        <f t="shared" ca="1" si="1"/>
        <v>22</v>
      </c>
      <c r="H33" s="60">
        <f>NETWORKDAYS.INTL(Table1[[#This Row],[No Bulan]],EOMONTH(Table1[[#This Row],[No Bulan]],0),1)</f>
        <v>22</v>
      </c>
      <c r="I33">
        <f t="shared" ca="1" si="3"/>
        <v>26</v>
      </c>
      <c r="J33">
        <f>NETWORKDAYS.INTL(Table1[[#This Row],[No Bulan]],EOMONTH(Table1[[#This Row],[No Bulan]],0),11)</f>
        <v>26</v>
      </c>
    </row>
    <row r="34" spans="1:10" x14ac:dyDescent="0.25">
      <c r="A34" s="4">
        <v>45778</v>
      </c>
      <c r="B34" t="str">
        <f t="shared" ref="B34:B65" si="7">TEXT(A34,"m")</f>
        <v>5</v>
      </c>
      <c r="C34" t="s">
        <v>53</v>
      </c>
      <c r="D34">
        <v>1452000</v>
      </c>
      <c r="E34">
        <v>726791</v>
      </c>
      <c r="F34" s="10">
        <f>IFERROR(Table1[[#This Row],[Actual]]/Table1[[#This Row],[Target]],0)</f>
        <v>0.50054476584022034</v>
      </c>
      <c r="G34" s="60">
        <f t="shared" ref="G34:G65" ca="1" si="8">IFERROR(NETWORKDAYS.INTL(A34,IF(MONTH(A34)&lt;MONTH($K$2),EOMONTH(A34,0),IF(MONTH(A34)=MONTH($K$2),$K$2)),1),"")</f>
        <v>22</v>
      </c>
      <c r="H34" s="60">
        <f>NETWORKDAYS.INTL(Table1[[#This Row],[No Bulan]],EOMONTH(Table1[[#This Row],[No Bulan]],0),1)</f>
        <v>22</v>
      </c>
      <c r="I34">
        <f t="shared" ref="I34:I65" ca="1" si="9">IFERROR(NETWORKDAYS.INTL(A34,IF(MONTH(A34)&lt;MONTH($K$2),EOMONTH(A34,0),IF(MONTH(A34)=MONTH($K$2),$K$2)),11),"")</f>
        <v>27</v>
      </c>
      <c r="J34">
        <f>NETWORKDAYS.INTL(Table1[[#This Row],[No Bulan]],EOMONTH(Table1[[#This Row],[No Bulan]],0),11)</f>
        <v>27</v>
      </c>
    </row>
    <row r="35" spans="1:10" x14ac:dyDescent="0.25">
      <c r="A35" s="4">
        <f t="shared" ref="A35:A41" si="10">A34</f>
        <v>45778</v>
      </c>
      <c r="B35" t="str">
        <f t="shared" si="7"/>
        <v>5</v>
      </c>
      <c r="C35" t="s">
        <v>54</v>
      </c>
      <c r="D35">
        <v>0</v>
      </c>
      <c r="E35">
        <v>14200</v>
      </c>
      <c r="F35" s="10">
        <f>IFERROR(Table1[[#This Row],[Actual]]/Table1[[#This Row],[Target]],0)</f>
        <v>0</v>
      </c>
      <c r="G35" s="60">
        <f t="shared" ca="1" si="8"/>
        <v>22</v>
      </c>
      <c r="H35" s="60">
        <f>NETWORKDAYS.INTL(Table1[[#This Row],[No Bulan]],EOMONTH(Table1[[#This Row],[No Bulan]],0),1)</f>
        <v>22</v>
      </c>
      <c r="I35">
        <f t="shared" ca="1" si="9"/>
        <v>27</v>
      </c>
      <c r="J35">
        <f>NETWORKDAYS.INTL(Table1[[#This Row],[No Bulan]],EOMONTH(Table1[[#This Row],[No Bulan]],0),11)</f>
        <v>27</v>
      </c>
    </row>
    <row r="36" spans="1:10" x14ac:dyDescent="0.25">
      <c r="A36" s="4">
        <f t="shared" si="10"/>
        <v>45778</v>
      </c>
      <c r="B36" t="str">
        <f t="shared" si="7"/>
        <v>5</v>
      </c>
      <c r="C36" t="s">
        <v>55</v>
      </c>
      <c r="D36">
        <v>5830000</v>
      </c>
      <c r="E36">
        <v>3022770</v>
      </c>
      <c r="F36" s="10">
        <f>IFERROR(Table1[[#This Row],[Actual]]/Table1[[#This Row],[Target]],0)</f>
        <v>0.51848542024013722</v>
      </c>
      <c r="G36" s="60">
        <f t="shared" ca="1" si="8"/>
        <v>22</v>
      </c>
      <c r="H36" s="60">
        <f>NETWORKDAYS.INTL(Table1[[#This Row],[No Bulan]],EOMONTH(Table1[[#This Row],[No Bulan]],0),1)</f>
        <v>22</v>
      </c>
      <c r="I36">
        <f t="shared" ca="1" si="9"/>
        <v>27</v>
      </c>
      <c r="J36">
        <f>NETWORKDAYS.INTL(Table1[[#This Row],[No Bulan]],EOMONTH(Table1[[#This Row],[No Bulan]],0),11)</f>
        <v>27</v>
      </c>
    </row>
    <row r="37" spans="1:10" x14ac:dyDescent="0.25">
      <c r="A37" s="4">
        <f t="shared" si="10"/>
        <v>45778</v>
      </c>
      <c r="B37" t="str">
        <f t="shared" si="7"/>
        <v>5</v>
      </c>
      <c r="C37" t="s">
        <v>56</v>
      </c>
      <c r="D37">
        <v>398860</v>
      </c>
      <c r="E37">
        <v>319580</v>
      </c>
      <c r="F37" s="10">
        <f>IFERROR(Table1[[#This Row],[Actual]]/Table1[[#This Row],[Target]],0)</f>
        <v>0.80123351551922983</v>
      </c>
      <c r="G37" s="60">
        <f t="shared" ca="1" si="8"/>
        <v>22</v>
      </c>
      <c r="H37" s="60">
        <f>NETWORKDAYS.INTL(Table1[[#This Row],[No Bulan]],EOMONTH(Table1[[#This Row],[No Bulan]],0),1)</f>
        <v>22</v>
      </c>
      <c r="I37">
        <f t="shared" ca="1" si="9"/>
        <v>27</v>
      </c>
      <c r="J37">
        <f>NETWORKDAYS.INTL(Table1[[#This Row],[No Bulan]],EOMONTH(Table1[[#This Row],[No Bulan]],0),11)</f>
        <v>27</v>
      </c>
    </row>
    <row r="38" spans="1:10" x14ac:dyDescent="0.25">
      <c r="A38" s="4">
        <f t="shared" si="10"/>
        <v>45778</v>
      </c>
      <c r="B38" t="str">
        <f t="shared" si="7"/>
        <v>5</v>
      </c>
      <c r="C38" t="s">
        <v>57</v>
      </c>
      <c r="D38">
        <v>61600</v>
      </c>
      <c r="E38">
        <v>28896</v>
      </c>
      <c r="F38" s="10">
        <f>IFERROR(Table1[[#This Row],[Actual]]/Table1[[#This Row],[Target]],0)</f>
        <v>0.46909090909090911</v>
      </c>
      <c r="G38" s="60">
        <f t="shared" ca="1" si="8"/>
        <v>22</v>
      </c>
      <c r="H38" s="60">
        <f>NETWORKDAYS.INTL(Table1[[#This Row],[No Bulan]],EOMONTH(Table1[[#This Row],[No Bulan]],0),1)</f>
        <v>22</v>
      </c>
      <c r="I38">
        <f t="shared" ca="1" si="9"/>
        <v>27</v>
      </c>
      <c r="J38">
        <f>NETWORKDAYS.INTL(Table1[[#This Row],[No Bulan]],EOMONTH(Table1[[#This Row],[No Bulan]],0),11)</f>
        <v>27</v>
      </c>
    </row>
    <row r="39" spans="1:10" x14ac:dyDescent="0.25">
      <c r="A39" s="4">
        <f t="shared" si="10"/>
        <v>45778</v>
      </c>
      <c r="B39" t="str">
        <f t="shared" si="7"/>
        <v>5</v>
      </c>
      <c r="C39" t="s">
        <v>58</v>
      </c>
      <c r="D39">
        <v>524700</v>
      </c>
      <c r="E39">
        <v>277389</v>
      </c>
      <c r="F39" s="10">
        <f>IFERROR(Table1[[#This Row],[Actual]]/Table1[[#This Row],[Target]],0)</f>
        <v>0.52866209262435682</v>
      </c>
      <c r="G39" s="60">
        <f t="shared" ca="1" si="8"/>
        <v>22</v>
      </c>
      <c r="H39" s="60">
        <f>NETWORKDAYS.INTL(Table1[[#This Row],[No Bulan]],EOMONTH(Table1[[#This Row],[No Bulan]],0),1)</f>
        <v>22</v>
      </c>
      <c r="I39">
        <f t="shared" ca="1" si="9"/>
        <v>27</v>
      </c>
      <c r="J39">
        <f>NETWORKDAYS.INTL(Table1[[#This Row],[No Bulan]],EOMONTH(Table1[[#This Row],[No Bulan]],0),11)</f>
        <v>27</v>
      </c>
    </row>
    <row r="40" spans="1:10" x14ac:dyDescent="0.25">
      <c r="A40" s="4">
        <f t="shared" si="10"/>
        <v>45778</v>
      </c>
      <c r="B40" t="str">
        <f t="shared" si="7"/>
        <v>5</v>
      </c>
      <c r="C40" t="s">
        <v>59</v>
      </c>
      <c r="D40">
        <v>476190</v>
      </c>
      <c r="E40">
        <v>665000</v>
      </c>
      <c r="F40" s="10">
        <f>IFERROR(Table1[[#This Row],[Actual]]/Table1[[#This Row],[Target]],0)</f>
        <v>1.3965013965013966</v>
      </c>
      <c r="G40" s="60">
        <f t="shared" ca="1" si="8"/>
        <v>22</v>
      </c>
      <c r="H40" s="60">
        <f>NETWORKDAYS.INTL(Table1[[#This Row],[No Bulan]],EOMONTH(Table1[[#This Row],[No Bulan]],0),1)</f>
        <v>22</v>
      </c>
      <c r="I40">
        <f t="shared" ca="1" si="9"/>
        <v>27</v>
      </c>
      <c r="J40">
        <f>NETWORKDAYS.INTL(Table1[[#This Row],[No Bulan]],EOMONTH(Table1[[#This Row],[No Bulan]],0),11)</f>
        <v>27</v>
      </c>
    </row>
    <row r="41" spans="1:10" x14ac:dyDescent="0.25">
      <c r="A41" s="4">
        <f t="shared" si="10"/>
        <v>45778</v>
      </c>
      <c r="B41" t="str">
        <f t="shared" si="7"/>
        <v>5</v>
      </c>
      <c r="C41" t="s">
        <v>60</v>
      </c>
      <c r="D41">
        <v>514800</v>
      </c>
      <c r="E41">
        <v>548458</v>
      </c>
      <c r="F41" s="10">
        <f>IFERROR(Table1[[#This Row],[Actual]]/Table1[[#This Row],[Target]],0)</f>
        <v>1.0653807303807303</v>
      </c>
      <c r="G41" s="60">
        <f t="shared" ca="1" si="8"/>
        <v>22</v>
      </c>
      <c r="H41" s="60">
        <f>NETWORKDAYS.INTL(Table1[[#This Row],[No Bulan]],EOMONTH(Table1[[#This Row],[No Bulan]],0),1)</f>
        <v>22</v>
      </c>
      <c r="I41">
        <f t="shared" ca="1" si="9"/>
        <v>27</v>
      </c>
      <c r="J41">
        <f>NETWORKDAYS.INTL(Table1[[#This Row],[No Bulan]],EOMONTH(Table1[[#This Row],[No Bulan]],0),11)</f>
        <v>27</v>
      </c>
    </row>
    <row r="42" spans="1:10" x14ac:dyDescent="0.25">
      <c r="A42" s="4">
        <v>45809</v>
      </c>
      <c r="B42" t="str">
        <f t="shared" si="7"/>
        <v>6</v>
      </c>
      <c r="C42" t="s">
        <v>53</v>
      </c>
      <c r="D42">
        <v>803250</v>
      </c>
      <c r="E42">
        <v>609588</v>
      </c>
      <c r="F42" s="10">
        <f>IFERROR(Table1[[#This Row],[Actual]]/Table1[[#This Row],[Target]],0)</f>
        <v>0.75890196078431371</v>
      </c>
      <c r="G42" s="60">
        <f t="shared" ca="1" si="8"/>
        <v>21</v>
      </c>
      <c r="H42" s="60">
        <f>NETWORKDAYS.INTL(Table1[[#This Row],[No Bulan]],EOMONTH(Table1[[#This Row],[No Bulan]],0),1)</f>
        <v>21</v>
      </c>
      <c r="I42">
        <f t="shared" ca="1" si="9"/>
        <v>25</v>
      </c>
      <c r="J42">
        <f>NETWORKDAYS.INTL(Table1[[#This Row],[No Bulan]],EOMONTH(Table1[[#This Row],[No Bulan]],0),11)</f>
        <v>25</v>
      </c>
    </row>
    <row r="43" spans="1:10" x14ac:dyDescent="0.25">
      <c r="A43" s="4">
        <f t="shared" ref="A43:A49" si="11">A42</f>
        <v>45809</v>
      </c>
      <c r="B43" t="str">
        <f t="shared" si="7"/>
        <v>6</v>
      </c>
      <c r="C43" t="s">
        <v>54</v>
      </c>
      <c r="D43">
        <v>0</v>
      </c>
      <c r="E43">
        <v>0</v>
      </c>
      <c r="F43" s="10">
        <f>IFERROR(Table1[[#This Row],[Actual]]/Table1[[#This Row],[Target]],0)</f>
        <v>0</v>
      </c>
      <c r="G43" s="60">
        <f t="shared" ca="1" si="8"/>
        <v>21</v>
      </c>
      <c r="H43" s="60">
        <f>NETWORKDAYS.INTL(Table1[[#This Row],[No Bulan]],EOMONTH(Table1[[#This Row],[No Bulan]],0),1)</f>
        <v>21</v>
      </c>
      <c r="I43">
        <f t="shared" ca="1" si="9"/>
        <v>25</v>
      </c>
      <c r="J43">
        <f>NETWORKDAYS.INTL(Table1[[#This Row],[No Bulan]],EOMONTH(Table1[[#This Row],[No Bulan]],0),11)</f>
        <v>25</v>
      </c>
    </row>
    <row r="44" spans="1:10" x14ac:dyDescent="0.25">
      <c r="A44" s="4">
        <f t="shared" si="11"/>
        <v>45809</v>
      </c>
      <c r="B44" t="str">
        <f t="shared" si="7"/>
        <v>6</v>
      </c>
      <c r="C44" t="s">
        <v>55</v>
      </c>
      <c r="D44">
        <v>1554000</v>
      </c>
      <c r="E44">
        <v>3713867</v>
      </c>
      <c r="F44" s="10">
        <f>IFERROR(Table1[[#This Row],[Actual]]/Table1[[#This Row],[Target]],0)</f>
        <v>2.3898758043758042</v>
      </c>
      <c r="G44" s="60">
        <f t="shared" ca="1" si="8"/>
        <v>21</v>
      </c>
      <c r="H44" s="60">
        <f>NETWORKDAYS.INTL(Table1[[#This Row],[No Bulan]],EOMONTH(Table1[[#This Row],[No Bulan]],0),1)</f>
        <v>21</v>
      </c>
      <c r="I44">
        <f t="shared" ca="1" si="9"/>
        <v>25</v>
      </c>
      <c r="J44">
        <f>NETWORKDAYS.INTL(Table1[[#This Row],[No Bulan]],EOMONTH(Table1[[#This Row],[No Bulan]],0),11)</f>
        <v>25</v>
      </c>
    </row>
    <row r="45" spans="1:10" x14ac:dyDescent="0.25">
      <c r="A45" s="4">
        <f t="shared" si="11"/>
        <v>45809</v>
      </c>
      <c r="B45" t="str">
        <f t="shared" si="7"/>
        <v>6</v>
      </c>
      <c r="C45" t="s">
        <v>56</v>
      </c>
      <c r="D45">
        <v>576240</v>
      </c>
      <c r="E45">
        <v>540447</v>
      </c>
      <c r="F45" s="10">
        <f>IFERROR(Table1[[#This Row],[Actual]]/Table1[[#This Row],[Target]],0)</f>
        <v>0.93788525614327367</v>
      </c>
      <c r="G45" s="60">
        <f t="shared" ca="1" si="8"/>
        <v>21</v>
      </c>
      <c r="H45" s="60">
        <f>NETWORKDAYS.INTL(Table1[[#This Row],[No Bulan]],EOMONTH(Table1[[#This Row],[No Bulan]],0),1)</f>
        <v>21</v>
      </c>
      <c r="I45">
        <f t="shared" ca="1" si="9"/>
        <v>25</v>
      </c>
      <c r="J45">
        <f>NETWORKDAYS.INTL(Table1[[#This Row],[No Bulan]],EOMONTH(Table1[[#This Row],[No Bulan]],0),11)</f>
        <v>25</v>
      </c>
    </row>
    <row r="46" spans="1:10" x14ac:dyDescent="0.25">
      <c r="A46" s="4">
        <f t="shared" si="11"/>
        <v>45809</v>
      </c>
      <c r="B46" t="str">
        <f t="shared" si="7"/>
        <v>6</v>
      </c>
      <c r="C46" t="s">
        <v>57</v>
      </c>
      <c r="D46">
        <v>90300</v>
      </c>
      <c r="E46">
        <v>45000</v>
      </c>
      <c r="F46" s="10">
        <f>IFERROR(Table1[[#This Row],[Actual]]/Table1[[#This Row],[Target]],0)</f>
        <v>0.49833887043189368</v>
      </c>
      <c r="G46" s="60">
        <f t="shared" ca="1" si="8"/>
        <v>21</v>
      </c>
      <c r="H46" s="60">
        <f>NETWORKDAYS.INTL(Table1[[#This Row],[No Bulan]],EOMONTH(Table1[[#This Row],[No Bulan]],0),1)</f>
        <v>21</v>
      </c>
      <c r="I46">
        <f t="shared" ca="1" si="9"/>
        <v>25</v>
      </c>
      <c r="J46">
        <f>NETWORKDAYS.INTL(Table1[[#This Row],[No Bulan]],EOMONTH(Table1[[#This Row],[No Bulan]],0),11)</f>
        <v>25</v>
      </c>
    </row>
    <row r="47" spans="1:10" x14ac:dyDescent="0.25">
      <c r="A47" s="4">
        <f t="shared" si="11"/>
        <v>45809</v>
      </c>
      <c r="B47" t="str">
        <f t="shared" si="7"/>
        <v>6</v>
      </c>
      <c r="C47" t="s">
        <v>58</v>
      </c>
      <c r="D47">
        <v>0</v>
      </c>
      <c r="E47">
        <v>248835</v>
      </c>
      <c r="F47" s="10">
        <f>IFERROR(Table1[[#This Row],[Actual]]/Table1[[#This Row],[Target]],0)</f>
        <v>0</v>
      </c>
      <c r="G47" s="60">
        <f t="shared" ca="1" si="8"/>
        <v>21</v>
      </c>
      <c r="H47" s="60">
        <f>NETWORKDAYS.INTL(Table1[[#This Row],[No Bulan]],EOMONTH(Table1[[#This Row],[No Bulan]],0),1)</f>
        <v>21</v>
      </c>
      <c r="I47">
        <f t="shared" ca="1" si="9"/>
        <v>25</v>
      </c>
      <c r="J47">
        <f>NETWORKDAYS.INTL(Table1[[#This Row],[No Bulan]],EOMONTH(Table1[[#This Row],[No Bulan]],0),11)</f>
        <v>25</v>
      </c>
    </row>
    <row r="48" spans="1:10" x14ac:dyDescent="0.25">
      <c r="A48" s="4">
        <f t="shared" si="11"/>
        <v>45809</v>
      </c>
      <c r="B48" t="str">
        <f t="shared" si="7"/>
        <v>6</v>
      </c>
      <c r="C48" t="s">
        <v>59</v>
      </c>
      <c r="D48">
        <v>339150</v>
      </c>
      <c r="E48">
        <v>389388</v>
      </c>
      <c r="F48" s="10">
        <f>IFERROR(Table1[[#This Row],[Actual]]/Table1[[#This Row],[Target]],0)</f>
        <v>1.1481291463954002</v>
      </c>
      <c r="G48" s="60">
        <f t="shared" ca="1" si="8"/>
        <v>21</v>
      </c>
      <c r="H48" s="60">
        <f>NETWORKDAYS.INTL(Table1[[#This Row],[No Bulan]],EOMONTH(Table1[[#This Row],[No Bulan]],0),1)</f>
        <v>21</v>
      </c>
      <c r="I48">
        <f t="shared" ca="1" si="9"/>
        <v>25</v>
      </c>
      <c r="J48">
        <f>NETWORKDAYS.INTL(Table1[[#This Row],[No Bulan]],EOMONTH(Table1[[#This Row],[No Bulan]],0),11)</f>
        <v>25</v>
      </c>
    </row>
    <row r="49" spans="1:10" x14ac:dyDescent="0.25">
      <c r="A49" s="4">
        <f t="shared" si="11"/>
        <v>45809</v>
      </c>
      <c r="B49" t="str">
        <f t="shared" si="7"/>
        <v>6</v>
      </c>
      <c r="C49" t="s">
        <v>60</v>
      </c>
      <c r="D49">
        <v>705600</v>
      </c>
      <c r="E49">
        <v>567056</v>
      </c>
      <c r="F49" s="10">
        <f>IFERROR(Table1[[#This Row],[Actual]]/Table1[[#This Row],[Target]],0)</f>
        <v>0.80365079365079362</v>
      </c>
      <c r="G49" s="60">
        <f t="shared" ca="1" si="8"/>
        <v>21</v>
      </c>
      <c r="H49" s="60">
        <f>NETWORKDAYS.INTL(Table1[[#This Row],[No Bulan]],EOMONTH(Table1[[#This Row],[No Bulan]],0),1)</f>
        <v>21</v>
      </c>
      <c r="I49">
        <f t="shared" ca="1" si="9"/>
        <v>25</v>
      </c>
      <c r="J49">
        <f>NETWORKDAYS.INTL(Table1[[#This Row],[No Bulan]],EOMONTH(Table1[[#This Row],[No Bulan]],0),11)</f>
        <v>25</v>
      </c>
    </row>
    <row r="50" spans="1:10" x14ac:dyDescent="0.25">
      <c r="A50" s="4">
        <v>45839</v>
      </c>
      <c r="B50" t="str">
        <f t="shared" si="7"/>
        <v>7</v>
      </c>
      <c r="C50" t="s">
        <v>53</v>
      </c>
      <c r="D50">
        <v>1044900</v>
      </c>
      <c r="E50">
        <v>596475</v>
      </c>
      <c r="F50" s="10">
        <f>IFERROR(Table1[[#This Row],[Actual]]/Table1[[#This Row],[Target]],0)</f>
        <v>0.57084409991386731</v>
      </c>
      <c r="G50" s="60">
        <f t="shared" ca="1" si="8"/>
        <v>23</v>
      </c>
      <c r="H50" s="60">
        <f>NETWORKDAYS.INTL(Table1[[#This Row],[No Bulan]],EOMONTH(Table1[[#This Row],[No Bulan]],0),1)</f>
        <v>23</v>
      </c>
      <c r="I50">
        <f t="shared" ca="1" si="9"/>
        <v>27</v>
      </c>
      <c r="J50">
        <f>NETWORKDAYS.INTL(Table1[[#This Row],[No Bulan]],EOMONTH(Table1[[#This Row],[No Bulan]],0),11)</f>
        <v>27</v>
      </c>
    </row>
    <row r="51" spans="1:10" x14ac:dyDescent="0.25">
      <c r="A51" s="4">
        <f t="shared" ref="A51:A57" si="12">A50</f>
        <v>45839</v>
      </c>
      <c r="B51" t="str">
        <f t="shared" si="7"/>
        <v>7</v>
      </c>
      <c r="C51" t="s">
        <v>54</v>
      </c>
      <c r="D51">
        <v>0</v>
      </c>
      <c r="E51">
        <v>0</v>
      </c>
      <c r="F51" s="10">
        <f>IFERROR(Table1[[#This Row],[Actual]]/Table1[[#This Row],[Target]],0)</f>
        <v>0</v>
      </c>
      <c r="G51" s="60">
        <f t="shared" ca="1" si="8"/>
        <v>23</v>
      </c>
      <c r="H51" s="60">
        <f>NETWORKDAYS.INTL(Table1[[#This Row],[No Bulan]],EOMONTH(Table1[[#This Row],[No Bulan]],0),1)</f>
        <v>23</v>
      </c>
      <c r="I51">
        <f t="shared" ca="1" si="9"/>
        <v>27</v>
      </c>
      <c r="J51">
        <f>NETWORKDAYS.INTL(Table1[[#This Row],[No Bulan]],EOMONTH(Table1[[#This Row],[No Bulan]],0),11)</f>
        <v>27</v>
      </c>
    </row>
    <row r="52" spans="1:10" x14ac:dyDescent="0.25">
      <c r="A52" s="4">
        <f t="shared" si="12"/>
        <v>45839</v>
      </c>
      <c r="B52" t="str">
        <f t="shared" si="7"/>
        <v>7</v>
      </c>
      <c r="C52" t="s">
        <v>55</v>
      </c>
      <c r="D52">
        <v>5309640</v>
      </c>
      <c r="E52">
        <v>1608390</v>
      </c>
      <c r="F52" s="10">
        <f>IFERROR(Table1[[#This Row],[Actual]]/Table1[[#This Row],[Target]],0)</f>
        <v>0.30291884195538682</v>
      </c>
      <c r="G52" s="60">
        <f t="shared" ca="1" si="8"/>
        <v>23</v>
      </c>
      <c r="H52" s="60">
        <f>NETWORKDAYS.INTL(Table1[[#This Row],[No Bulan]],EOMONTH(Table1[[#This Row],[No Bulan]],0),1)</f>
        <v>23</v>
      </c>
      <c r="I52">
        <f t="shared" ca="1" si="9"/>
        <v>27</v>
      </c>
      <c r="J52">
        <f>NETWORKDAYS.INTL(Table1[[#This Row],[No Bulan]],EOMONTH(Table1[[#This Row],[No Bulan]],0),11)</f>
        <v>27</v>
      </c>
    </row>
    <row r="53" spans="1:10" x14ac:dyDescent="0.25">
      <c r="A53" s="4">
        <f t="shared" si="12"/>
        <v>45839</v>
      </c>
      <c r="B53" t="str">
        <f t="shared" si="7"/>
        <v>7</v>
      </c>
      <c r="C53" t="s">
        <v>56</v>
      </c>
      <c r="D53">
        <v>606816</v>
      </c>
      <c r="E53">
        <v>114640</v>
      </c>
      <c r="F53" s="10">
        <f>IFERROR(Table1[[#This Row],[Actual]]/Table1[[#This Row],[Target]],0)</f>
        <v>0.18892052945209092</v>
      </c>
      <c r="G53" s="60">
        <f t="shared" ca="1" si="8"/>
        <v>23</v>
      </c>
      <c r="H53" s="60">
        <f>NETWORKDAYS.INTL(Table1[[#This Row],[No Bulan]],EOMONTH(Table1[[#This Row],[No Bulan]],0),1)</f>
        <v>23</v>
      </c>
      <c r="I53">
        <f t="shared" ca="1" si="9"/>
        <v>27</v>
      </c>
      <c r="J53">
        <f>NETWORKDAYS.INTL(Table1[[#This Row],[No Bulan]],EOMONTH(Table1[[#This Row],[No Bulan]],0),11)</f>
        <v>27</v>
      </c>
    </row>
    <row r="54" spans="1:10" x14ac:dyDescent="0.25">
      <c r="A54" s="4">
        <f t="shared" si="12"/>
        <v>45839</v>
      </c>
      <c r="B54" t="str">
        <f t="shared" si="7"/>
        <v>7</v>
      </c>
      <c r="C54" t="s">
        <v>57</v>
      </c>
      <c r="D54">
        <v>118680</v>
      </c>
      <c r="E54">
        <v>5780</v>
      </c>
      <c r="F54" s="10">
        <f>IFERROR(Table1[[#This Row],[Actual]]/Table1[[#This Row],[Target]],0)</f>
        <v>4.8702392989551736E-2</v>
      </c>
      <c r="G54" s="60">
        <f t="shared" ca="1" si="8"/>
        <v>23</v>
      </c>
      <c r="H54" s="60">
        <f>NETWORKDAYS.INTL(Table1[[#This Row],[No Bulan]],EOMONTH(Table1[[#This Row],[No Bulan]],0),1)</f>
        <v>23</v>
      </c>
      <c r="I54">
        <f t="shared" ca="1" si="9"/>
        <v>27</v>
      </c>
      <c r="J54">
        <f>NETWORKDAYS.INTL(Table1[[#This Row],[No Bulan]],EOMONTH(Table1[[#This Row],[No Bulan]],0),11)</f>
        <v>27</v>
      </c>
    </row>
    <row r="55" spans="1:10" x14ac:dyDescent="0.25">
      <c r="A55" s="4">
        <f t="shared" si="12"/>
        <v>45839</v>
      </c>
      <c r="B55" t="str">
        <f t="shared" si="7"/>
        <v>7</v>
      </c>
      <c r="C55" t="s">
        <v>58</v>
      </c>
      <c r="D55">
        <v>303150</v>
      </c>
      <c r="E55">
        <v>100932</v>
      </c>
      <c r="F55" s="10">
        <f>IFERROR(Table1[[#This Row],[Actual]]/Table1[[#This Row],[Target]],0)</f>
        <v>0.33294408708560119</v>
      </c>
      <c r="G55" s="60">
        <f t="shared" ca="1" si="8"/>
        <v>23</v>
      </c>
      <c r="H55" s="60">
        <f>NETWORKDAYS.INTL(Table1[[#This Row],[No Bulan]],EOMONTH(Table1[[#This Row],[No Bulan]],0),1)</f>
        <v>23</v>
      </c>
      <c r="I55">
        <f t="shared" ca="1" si="9"/>
        <v>27</v>
      </c>
      <c r="J55">
        <f>NETWORKDAYS.INTL(Table1[[#This Row],[No Bulan]],EOMONTH(Table1[[#This Row],[No Bulan]],0),11)</f>
        <v>27</v>
      </c>
    </row>
    <row r="56" spans="1:10" x14ac:dyDescent="0.25">
      <c r="A56" s="4">
        <f t="shared" si="12"/>
        <v>45839</v>
      </c>
      <c r="B56" t="str">
        <f t="shared" si="7"/>
        <v>7</v>
      </c>
      <c r="C56" t="s">
        <v>59</v>
      </c>
      <c r="D56">
        <v>813603</v>
      </c>
      <c r="E56">
        <v>423450</v>
      </c>
      <c r="F56" s="10">
        <f>IFERROR(Table1[[#This Row],[Actual]]/Table1[[#This Row],[Target]],0)</f>
        <v>0.52046268265972473</v>
      </c>
      <c r="G56" s="60">
        <f t="shared" ca="1" si="8"/>
        <v>23</v>
      </c>
      <c r="H56" s="60">
        <f>NETWORKDAYS.INTL(Table1[[#This Row],[No Bulan]],EOMONTH(Table1[[#This Row],[No Bulan]],0),1)</f>
        <v>23</v>
      </c>
      <c r="I56">
        <f t="shared" ca="1" si="9"/>
        <v>27</v>
      </c>
      <c r="J56">
        <f>NETWORKDAYS.INTL(Table1[[#This Row],[No Bulan]],EOMONTH(Table1[[#This Row],[No Bulan]],0),11)</f>
        <v>27</v>
      </c>
    </row>
    <row r="57" spans="1:10" x14ac:dyDescent="0.25">
      <c r="A57" s="4">
        <f t="shared" si="12"/>
        <v>45839</v>
      </c>
      <c r="B57" t="str">
        <f t="shared" si="7"/>
        <v>7</v>
      </c>
      <c r="C57" t="s">
        <v>60</v>
      </c>
      <c r="D57">
        <v>681120</v>
      </c>
      <c r="E57">
        <v>442785</v>
      </c>
      <c r="F57" s="10">
        <f>IFERROR(Table1[[#This Row],[Actual]]/Table1[[#This Row],[Target]],0)</f>
        <v>0.65008368569415076</v>
      </c>
      <c r="G57" s="60">
        <f t="shared" ca="1" si="8"/>
        <v>23</v>
      </c>
      <c r="H57" s="60">
        <f>NETWORKDAYS.INTL(Table1[[#This Row],[No Bulan]],EOMONTH(Table1[[#This Row],[No Bulan]],0),1)</f>
        <v>23</v>
      </c>
      <c r="I57">
        <f t="shared" ca="1" si="9"/>
        <v>27</v>
      </c>
      <c r="J57">
        <f>NETWORKDAYS.INTL(Table1[[#This Row],[No Bulan]],EOMONTH(Table1[[#This Row],[No Bulan]],0),11)</f>
        <v>27</v>
      </c>
    </row>
    <row r="58" spans="1:10" x14ac:dyDescent="0.25">
      <c r="A58" s="4">
        <v>45870</v>
      </c>
      <c r="B58" t="str">
        <f t="shared" si="7"/>
        <v>8</v>
      </c>
      <c r="C58" t="s">
        <v>53</v>
      </c>
      <c r="D58">
        <v>0</v>
      </c>
      <c r="E58">
        <v>0</v>
      </c>
      <c r="F58" s="10">
        <f>IFERROR(Table1[[#This Row],[Actual]]/Table1[[#This Row],[Target]],0)</f>
        <v>0</v>
      </c>
      <c r="G58" s="60">
        <f t="shared" ca="1" si="8"/>
        <v>21</v>
      </c>
      <c r="H58" s="60">
        <f>NETWORKDAYS.INTL(Table1[[#This Row],[No Bulan]],EOMONTH(Table1[[#This Row],[No Bulan]],0),1)</f>
        <v>21</v>
      </c>
      <c r="I58">
        <f t="shared" ca="1" si="9"/>
        <v>26</v>
      </c>
      <c r="J58">
        <f>NETWORKDAYS.INTL(Table1[[#This Row],[No Bulan]],EOMONTH(Table1[[#This Row],[No Bulan]],0),11)</f>
        <v>26</v>
      </c>
    </row>
    <row r="59" spans="1:10" x14ac:dyDescent="0.25">
      <c r="A59" s="4">
        <f t="shared" ref="A59:A65" si="13">A58</f>
        <v>45870</v>
      </c>
      <c r="B59" t="str">
        <f t="shared" si="7"/>
        <v>8</v>
      </c>
      <c r="C59" t="s">
        <v>54</v>
      </c>
      <c r="D59">
        <v>0</v>
      </c>
      <c r="E59">
        <v>0</v>
      </c>
      <c r="F59" s="10">
        <f>IFERROR(Table1[[#This Row],[Actual]]/Table1[[#This Row],[Target]],0)</f>
        <v>0</v>
      </c>
      <c r="G59" s="60">
        <f t="shared" ca="1" si="8"/>
        <v>21</v>
      </c>
      <c r="H59" s="60">
        <f>NETWORKDAYS.INTL(Table1[[#This Row],[No Bulan]],EOMONTH(Table1[[#This Row],[No Bulan]],0),1)</f>
        <v>21</v>
      </c>
      <c r="I59">
        <f t="shared" ca="1" si="9"/>
        <v>26</v>
      </c>
      <c r="J59">
        <f>NETWORKDAYS.INTL(Table1[[#This Row],[No Bulan]],EOMONTH(Table1[[#This Row],[No Bulan]],0),11)</f>
        <v>26</v>
      </c>
    </row>
    <row r="60" spans="1:10" x14ac:dyDescent="0.25">
      <c r="A60" s="4">
        <f t="shared" si="13"/>
        <v>45870</v>
      </c>
      <c r="B60" t="str">
        <f t="shared" si="7"/>
        <v>8</v>
      </c>
      <c r="C60" t="s">
        <v>55</v>
      </c>
      <c r="D60">
        <v>0</v>
      </c>
      <c r="E60">
        <v>0</v>
      </c>
      <c r="F60" s="10">
        <f>IFERROR(Table1[[#This Row],[Actual]]/Table1[[#This Row],[Target]],0)</f>
        <v>0</v>
      </c>
      <c r="G60" s="60">
        <f t="shared" ca="1" si="8"/>
        <v>21</v>
      </c>
      <c r="H60" s="60">
        <f>NETWORKDAYS.INTL(Table1[[#This Row],[No Bulan]],EOMONTH(Table1[[#This Row],[No Bulan]],0),1)</f>
        <v>21</v>
      </c>
      <c r="I60">
        <f t="shared" ca="1" si="9"/>
        <v>26</v>
      </c>
      <c r="J60">
        <f>NETWORKDAYS.INTL(Table1[[#This Row],[No Bulan]],EOMONTH(Table1[[#This Row],[No Bulan]],0),11)</f>
        <v>26</v>
      </c>
    </row>
    <row r="61" spans="1:10" x14ac:dyDescent="0.25">
      <c r="A61" s="4">
        <f t="shared" si="13"/>
        <v>45870</v>
      </c>
      <c r="B61" t="str">
        <f t="shared" si="7"/>
        <v>8</v>
      </c>
      <c r="C61" t="s">
        <v>56</v>
      </c>
      <c r="D61">
        <v>0</v>
      </c>
      <c r="E61">
        <v>0</v>
      </c>
      <c r="F61" s="10">
        <f>IFERROR(Table1[[#This Row],[Actual]]/Table1[[#This Row],[Target]],0)</f>
        <v>0</v>
      </c>
      <c r="G61" s="60">
        <f t="shared" ca="1" si="8"/>
        <v>21</v>
      </c>
      <c r="H61" s="60">
        <f>NETWORKDAYS.INTL(Table1[[#This Row],[No Bulan]],EOMONTH(Table1[[#This Row],[No Bulan]],0),1)</f>
        <v>21</v>
      </c>
      <c r="I61">
        <f t="shared" ca="1" si="9"/>
        <v>26</v>
      </c>
      <c r="J61">
        <f>NETWORKDAYS.INTL(Table1[[#This Row],[No Bulan]],EOMONTH(Table1[[#This Row],[No Bulan]],0),11)</f>
        <v>26</v>
      </c>
    </row>
    <row r="62" spans="1:10" x14ac:dyDescent="0.25">
      <c r="A62" s="4">
        <f t="shared" si="13"/>
        <v>45870</v>
      </c>
      <c r="B62" t="str">
        <f t="shared" si="7"/>
        <v>8</v>
      </c>
      <c r="C62" t="s">
        <v>57</v>
      </c>
      <c r="D62">
        <v>0</v>
      </c>
      <c r="E62">
        <v>0</v>
      </c>
      <c r="F62" s="10">
        <f>IFERROR(Table1[[#This Row],[Actual]]/Table1[[#This Row],[Target]],0)</f>
        <v>0</v>
      </c>
      <c r="G62" s="60">
        <f t="shared" ca="1" si="8"/>
        <v>21</v>
      </c>
      <c r="H62" s="60">
        <f>NETWORKDAYS.INTL(Table1[[#This Row],[No Bulan]],EOMONTH(Table1[[#This Row],[No Bulan]],0),1)</f>
        <v>21</v>
      </c>
      <c r="I62">
        <f t="shared" ca="1" si="9"/>
        <v>26</v>
      </c>
      <c r="J62">
        <f>NETWORKDAYS.INTL(Table1[[#This Row],[No Bulan]],EOMONTH(Table1[[#This Row],[No Bulan]],0),11)</f>
        <v>26</v>
      </c>
    </row>
    <row r="63" spans="1:10" x14ac:dyDescent="0.25">
      <c r="A63" s="4">
        <f t="shared" si="13"/>
        <v>45870</v>
      </c>
      <c r="B63" t="str">
        <f t="shared" si="7"/>
        <v>8</v>
      </c>
      <c r="C63" t="s">
        <v>58</v>
      </c>
      <c r="D63">
        <v>0</v>
      </c>
      <c r="E63">
        <v>0</v>
      </c>
      <c r="F63" s="10">
        <f>IFERROR(Table1[[#This Row],[Actual]]/Table1[[#This Row],[Target]],0)</f>
        <v>0</v>
      </c>
      <c r="G63" s="60">
        <f t="shared" ca="1" si="8"/>
        <v>21</v>
      </c>
      <c r="H63" s="60">
        <f>NETWORKDAYS.INTL(Table1[[#This Row],[No Bulan]],EOMONTH(Table1[[#This Row],[No Bulan]],0),1)</f>
        <v>21</v>
      </c>
      <c r="I63">
        <f t="shared" ca="1" si="9"/>
        <v>26</v>
      </c>
      <c r="J63">
        <f>NETWORKDAYS.INTL(Table1[[#This Row],[No Bulan]],EOMONTH(Table1[[#This Row],[No Bulan]],0),11)</f>
        <v>26</v>
      </c>
    </row>
    <row r="64" spans="1:10" x14ac:dyDescent="0.25">
      <c r="A64" s="4">
        <f t="shared" si="13"/>
        <v>45870</v>
      </c>
      <c r="B64" t="str">
        <f t="shared" si="7"/>
        <v>8</v>
      </c>
      <c r="C64" t="s">
        <v>59</v>
      </c>
      <c r="D64">
        <v>0</v>
      </c>
      <c r="E64">
        <v>0</v>
      </c>
      <c r="F64" s="10">
        <f>IFERROR(Table1[[#This Row],[Actual]]/Table1[[#This Row],[Target]],0)</f>
        <v>0</v>
      </c>
      <c r="G64" s="60">
        <f t="shared" ca="1" si="8"/>
        <v>21</v>
      </c>
      <c r="H64" s="60">
        <f>NETWORKDAYS.INTL(Table1[[#This Row],[No Bulan]],EOMONTH(Table1[[#This Row],[No Bulan]],0),1)</f>
        <v>21</v>
      </c>
      <c r="I64">
        <f t="shared" ca="1" si="9"/>
        <v>26</v>
      </c>
      <c r="J64">
        <f>NETWORKDAYS.INTL(Table1[[#This Row],[No Bulan]],EOMONTH(Table1[[#This Row],[No Bulan]],0),11)</f>
        <v>26</v>
      </c>
    </row>
    <row r="65" spans="1:10" x14ac:dyDescent="0.25">
      <c r="A65" s="4">
        <f t="shared" si="13"/>
        <v>45870</v>
      </c>
      <c r="B65" t="str">
        <f t="shared" si="7"/>
        <v>8</v>
      </c>
      <c r="C65" t="s">
        <v>60</v>
      </c>
      <c r="D65">
        <v>0</v>
      </c>
      <c r="E65">
        <v>0</v>
      </c>
      <c r="F65" s="10">
        <f>IFERROR(Table1[[#This Row],[Actual]]/Table1[[#This Row],[Target]],0)</f>
        <v>0</v>
      </c>
      <c r="G65" s="60">
        <f t="shared" ca="1" si="8"/>
        <v>21</v>
      </c>
      <c r="H65" s="60">
        <f>NETWORKDAYS.INTL(Table1[[#This Row],[No Bulan]],EOMONTH(Table1[[#This Row],[No Bulan]],0),1)</f>
        <v>21</v>
      </c>
      <c r="I65">
        <f t="shared" ca="1" si="9"/>
        <v>26</v>
      </c>
      <c r="J65">
        <f>NETWORKDAYS.INTL(Table1[[#This Row],[No Bulan]],EOMONTH(Table1[[#This Row],[No Bulan]],0),11)</f>
        <v>26</v>
      </c>
    </row>
    <row r="66" spans="1:10" x14ac:dyDescent="0.25">
      <c r="A66" s="4">
        <v>45901</v>
      </c>
      <c r="B66" t="str">
        <f t="shared" ref="B66:B97" si="14">TEXT(A66,"m")</f>
        <v>9</v>
      </c>
      <c r="C66" t="s">
        <v>53</v>
      </c>
      <c r="D66">
        <v>0</v>
      </c>
      <c r="E66">
        <v>0</v>
      </c>
      <c r="F66" s="10">
        <f>IFERROR(Table1[[#This Row],[Actual]]/Table1[[#This Row],[Target]],0)</f>
        <v>0</v>
      </c>
      <c r="G66" s="60">
        <f t="shared" ref="G66:G97" ca="1" si="15">IFERROR(NETWORKDAYS.INTL(A66,IF(MONTH(A66)&lt;MONTH($K$2),EOMONTH(A66,0),IF(MONTH(A66)=MONTH($K$2),$K$2)),1),"")</f>
        <v>22</v>
      </c>
      <c r="H66" s="60">
        <f>NETWORKDAYS.INTL(Table1[[#This Row],[No Bulan]],EOMONTH(Table1[[#This Row],[No Bulan]],0),1)</f>
        <v>22</v>
      </c>
      <c r="I66">
        <f t="shared" ref="I66:I97" ca="1" si="16">IFERROR(NETWORKDAYS.INTL(A66,IF(MONTH(A66)&lt;MONTH($K$2),EOMONTH(A66,0),IF(MONTH(A66)=MONTH($K$2),$K$2)),11),"")</f>
        <v>26</v>
      </c>
      <c r="J66">
        <f>NETWORKDAYS.INTL(Table1[[#This Row],[No Bulan]],EOMONTH(Table1[[#This Row],[No Bulan]],0),11)</f>
        <v>26</v>
      </c>
    </row>
    <row r="67" spans="1:10" x14ac:dyDescent="0.25">
      <c r="A67" s="4">
        <f t="shared" ref="A67:A73" si="17">A66</f>
        <v>45901</v>
      </c>
      <c r="B67" t="str">
        <f t="shared" si="14"/>
        <v>9</v>
      </c>
      <c r="C67" t="s">
        <v>54</v>
      </c>
      <c r="D67">
        <v>0</v>
      </c>
      <c r="E67">
        <v>0</v>
      </c>
      <c r="F67" s="10">
        <f>IFERROR(Table1[[#This Row],[Actual]]/Table1[[#This Row],[Target]],0)</f>
        <v>0</v>
      </c>
      <c r="G67" s="60">
        <f t="shared" ca="1" si="15"/>
        <v>22</v>
      </c>
      <c r="H67" s="60">
        <f>NETWORKDAYS.INTL(Table1[[#This Row],[No Bulan]],EOMONTH(Table1[[#This Row],[No Bulan]],0),1)</f>
        <v>22</v>
      </c>
      <c r="I67">
        <f t="shared" ca="1" si="16"/>
        <v>26</v>
      </c>
      <c r="J67">
        <f>NETWORKDAYS.INTL(Table1[[#This Row],[No Bulan]],EOMONTH(Table1[[#This Row],[No Bulan]],0),11)</f>
        <v>26</v>
      </c>
    </row>
    <row r="68" spans="1:10" x14ac:dyDescent="0.25">
      <c r="A68" s="4">
        <f t="shared" si="17"/>
        <v>45901</v>
      </c>
      <c r="B68" t="str">
        <f t="shared" si="14"/>
        <v>9</v>
      </c>
      <c r="C68" t="s">
        <v>55</v>
      </c>
      <c r="D68">
        <v>0</v>
      </c>
      <c r="E68">
        <v>0</v>
      </c>
      <c r="F68" s="10">
        <f>IFERROR(Table1[[#This Row],[Actual]]/Table1[[#This Row],[Target]],0)</f>
        <v>0</v>
      </c>
      <c r="G68" s="60">
        <f t="shared" ca="1" si="15"/>
        <v>22</v>
      </c>
      <c r="H68" s="60">
        <f>NETWORKDAYS.INTL(Table1[[#This Row],[No Bulan]],EOMONTH(Table1[[#This Row],[No Bulan]],0),1)</f>
        <v>22</v>
      </c>
      <c r="I68">
        <f t="shared" ca="1" si="16"/>
        <v>26</v>
      </c>
      <c r="J68">
        <f>NETWORKDAYS.INTL(Table1[[#This Row],[No Bulan]],EOMONTH(Table1[[#This Row],[No Bulan]],0),11)</f>
        <v>26</v>
      </c>
    </row>
    <row r="69" spans="1:10" x14ac:dyDescent="0.25">
      <c r="A69" s="4">
        <f t="shared" si="17"/>
        <v>45901</v>
      </c>
      <c r="B69" t="str">
        <f t="shared" si="14"/>
        <v>9</v>
      </c>
      <c r="C69" t="s">
        <v>56</v>
      </c>
      <c r="D69">
        <v>0</v>
      </c>
      <c r="E69">
        <v>0</v>
      </c>
      <c r="F69" s="10">
        <f>IFERROR(Table1[[#This Row],[Actual]]/Table1[[#This Row],[Target]],0)</f>
        <v>0</v>
      </c>
      <c r="G69" s="60">
        <f t="shared" ca="1" si="15"/>
        <v>22</v>
      </c>
      <c r="H69" s="60">
        <f>NETWORKDAYS.INTL(Table1[[#This Row],[No Bulan]],EOMONTH(Table1[[#This Row],[No Bulan]],0),1)</f>
        <v>22</v>
      </c>
      <c r="I69">
        <f t="shared" ca="1" si="16"/>
        <v>26</v>
      </c>
      <c r="J69">
        <f>NETWORKDAYS.INTL(Table1[[#This Row],[No Bulan]],EOMONTH(Table1[[#This Row],[No Bulan]],0),11)</f>
        <v>26</v>
      </c>
    </row>
    <row r="70" spans="1:10" x14ac:dyDescent="0.25">
      <c r="A70" s="4">
        <f t="shared" si="17"/>
        <v>45901</v>
      </c>
      <c r="B70" t="str">
        <f t="shared" si="14"/>
        <v>9</v>
      </c>
      <c r="C70" t="s">
        <v>57</v>
      </c>
      <c r="D70">
        <v>0</v>
      </c>
      <c r="E70">
        <v>0</v>
      </c>
      <c r="F70" s="10">
        <f>IFERROR(Table1[[#This Row],[Actual]]/Table1[[#This Row],[Target]],0)</f>
        <v>0</v>
      </c>
      <c r="G70" s="60">
        <f t="shared" ca="1" si="15"/>
        <v>22</v>
      </c>
      <c r="H70" s="60">
        <f>NETWORKDAYS.INTL(Table1[[#This Row],[No Bulan]],EOMONTH(Table1[[#This Row],[No Bulan]],0),1)</f>
        <v>22</v>
      </c>
      <c r="I70">
        <f t="shared" ca="1" si="16"/>
        <v>26</v>
      </c>
      <c r="J70">
        <f>NETWORKDAYS.INTL(Table1[[#This Row],[No Bulan]],EOMONTH(Table1[[#This Row],[No Bulan]],0),11)</f>
        <v>26</v>
      </c>
    </row>
    <row r="71" spans="1:10" x14ac:dyDescent="0.25">
      <c r="A71" s="4">
        <f t="shared" si="17"/>
        <v>45901</v>
      </c>
      <c r="B71" t="str">
        <f t="shared" si="14"/>
        <v>9</v>
      </c>
      <c r="C71" t="s">
        <v>58</v>
      </c>
      <c r="D71">
        <v>0</v>
      </c>
      <c r="E71">
        <v>0</v>
      </c>
      <c r="F71" s="10">
        <f>IFERROR(Table1[[#This Row],[Actual]]/Table1[[#This Row],[Target]],0)</f>
        <v>0</v>
      </c>
      <c r="G71" s="60">
        <f t="shared" ca="1" si="15"/>
        <v>22</v>
      </c>
      <c r="H71" s="60">
        <f>NETWORKDAYS.INTL(Table1[[#This Row],[No Bulan]],EOMONTH(Table1[[#This Row],[No Bulan]],0),1)</f>
        <v>22</v>
      </c>
      <c r="I71">
        <f t="shared" ca="1" si="16"/>
        <v>26</v>
      </c>
      <c r="J71">
        <f>NETWORKDAYS.INTL(Table1[[#This Row],[No Bulan]],EOMONTH(Table1[[#This Row],[No Bulan]],0),11)</f>
        <v>26</v>
      </c>
    </row>
    <row r="72" spans="1:10" x14ac:dyDescent="0.25">
      <c r="A72" s="4">
        <f t="shared" si="17"/>
        <v>45901</v>
      </c>
      <c r="B72" t="str">
        <f t="shared" si="14"/>
        <v>9</v>
      </c>
      <c r="C72" t="s">
        <v>59</v>
      </c>
      <c r="D72">
        <v>0</v>
      </c>
      <c r="E72">
        <v>0</v>
      </c>
      <c r="F72" s="10">
        <f>IFERROR(Table1[[#This Row],[Actual]]/Table1[[#This Row],[Target]],0)</f>
        <v>0</v>
      </c>
      <c r="G72" s="60">
        <f t="shared" ca="1" si="15"/>
        <v>22</v>
      </c>
      <c r="H72" s="60">
        <f>NETWORKDAYS.INTL(Table1[[#This Row],[No Bulan]],EOMONTH(Table1[[#This Row],[No Bulan]],0),1)</f>
        <v>22</v>
      </c>
      <c r="I72">
        <f t="shared" ca="1" si="16"/>
        <v>26</v>
      </c>
      <c r="J72">
        <f>NETWORKDAYS.INTL(Table1[[#This Row],[No Bulan]],EOMONTH(Table1[[#This Row],[No Bulan]],0),11)</f>
        <v>26</v>
      </c>
    </row>
    <row r="73" spans="1:10" x14ac:dyDescent="0.25">
      <c r="A73" s="4">
        <f t="shared" si="17"/>
        <v>45901</v>
      </c>
      <c r="B73" t="str">
        <f t="shared" si="14"/>
        <v>9</v>
      </c>
      <c r="C73" t="s">
        <v>60</v>
      </c>
      <c r="D73">
        <v>0</v>
      </c>
      <c r="E73">
        <v>0</v>
      </c>
      <c r="F73" s="10">
        <f>IFERROR(Table1[[#This Row],[Actual]]/Table1[[#This Row],[Target]],0)</f>
        <v>0</v>
      </c>
      <c r="G73" s="60">
        <f t="shared" ca="1" si="15"/>
        <v>22</v>
      </c>
      <c r="H73" s="60">
        <f>NETWORKDAYS.INTL(Table1[[#This Row],[No Bulan]],EOMONTH(Table1[[#This Row],[No Bulan]],0),1)</f>
        <v>22</v>
      </c>
      <c r="I73">
        <f t="shared" ca="1" si="16"/>
        <v>26</v>
      </c>
      <c r="J73">
        <f>NETWORKDAYS.INTL(Table1[[#This Row],[No Bulan]],EOMONTH(Table1[[#This Row],[No Bulan]],0),11)</f>
        <v>26</v>
      </c>
    </row>
    <row r="74" spans="1:10" x14ac:dyDescent="0.25">
      <c r="A74" s="4">
        <v>45931</v>
      </c>
      <c r="B74" t="str">
        <f t="shared" si="14"/>
        <v>10</v>
      </c>
      <c r="C74" t="s">
        <v>53</v>
      </c>
      <c r="D74">
        <v>0</v>
      </c>
      <c r="E74">
        <v>0</v>
      </c>
      <c r="F74" s="10">
        <f>IFERROR(Table1[[#This Row],[Actual]]/Table1[[#This Row],[Target]],0)</f>
        <v>0</v>
      </c>
      <c r="G74" s="60">
        <f t="shared" ca="1" si="15"/>
        <v>273</v>
      </c>
      <c r="H74" s="60">
        <f>NETWORKDAYS.INTL(Table1[[#This Row],[No Bulan]],EOMONTH(Table1[[#This Row],[No Bulan]],0),1)</f>
        <v>23</v>
      </c>
      <c r="I74">
        <f t="shared" ca="1" si="16"/>
        <v>328</v>
      </c>
      <c r="J74">
        <f>NETWORKDAYS.INTL(Table1[[#This Row],[No Bulan]],EOMONTH(Table1[[#This Row],[No Bulan]],0),11)</f>
        <v>27</v>
      </c>
    </row>
    <row r="75" spans="1:10" x14ac:dyDescent="0.25">
      <c r="A75" s="4">
        <f t="shared" ref="A75:A81" si="18">A74</f>
        <v>45931</v>
      </c>
      <c r="B75" t="str">
        <f t="shared" si="14"/>
        <v>10</v>
      </c>
      <c r="C75" t="s">
        <v>54</v>
      </c>
      <c r="D75">
        <v>0</v>
      </c>
      <c r="E75">
        <v>0</v>
      </c>
      <c r="F75" s="10">
        <f>IFERROR(Table1[[#This Row],[Actual]]/Table1[[#This Row],[Target]],0)</f>
        <v>0</v>
      </c>
      <c r="G75" s="60">
        <f t="shared" ca="1" si="15"/>
        <v>273</v>
      </c>
      <c r="H75" s="60">
        <f>NETWORKDAYS.INTL(Table1[[#This Row],[No Bulan]],EOMONTH(Table1[[#This Row],[No Bulan]],0),1)</f>
        <v>23</v>
      </c>
      <c r="I75">
        <f t="shared" ca="1" si="16"/>
        <v>328</v>
      </c>
      <c r="J75">
        <f>NETWORKDAYS.INTL(Table1[[#This Row],[No Bulan]],EOMONTH(Table1[[#This Row],[No Bulan]],0),11)</f>
        <v>27</v>
      </c>
    </row>
    <row r="76" spans="1:10" x14ac:dyDescent="0.25">
      <c r="A76" s="4">
        <f t="shared" si="18"/>
        <v>45931</v>
      </c>
      <c r="B76" t="str">
        <f t="shared" si="14"/>
        <v>10</v>
      </c>
      <c r="C76" t="s">
        <v>55</v>
      </c>
      <c r="D76">
        <v>0</v>
      </c>
      <c r="E76">
        <v>0</v>
      </c>
      <c r="F76" s="10">
        <f>IFERROR(Table1[[#This Row],[Actual]]/Table1[[#This Row],[Target]],0)</f>
        <v>0</v>
      </c>
      <c r="G76" s="60">
        <f t="shared" ca="1" si="15"/>
        <v>273</v>
      </c>
      <c r="H76" s="60">
        <f>NETWORKDAYS.INTL(Table1[[#This Row],[No Bulan]],EOMONTH(Table1[[#This Row],[No Bulan]],0),1)</f>
        <v>23</v>
      </c>
      <c r="I76">
        <f t="shared" ca="1" si="16"/>
        <v>328</v>
      </c>
      <c r="J76">
        <f>NETWORKDAYS.INTL(Table1[[#This Row],[No Bulan]],EOMONTH(Table1[[#This Row],[No Bulan]],0),11)</f>
        <v>27</v>
      </c>
    </row>
    <row r="77" spans="1:10" x14ac:dyDescent="0.25">
      <c r="A77" s="4">
        <f t="shared" si="18"/>
        <v>45931</v>
      </c>
      <c r="B77" t="str">
        <f t="shared" si="14"/>
        <v>10</v>
      </c>
      <c r="C77" t="s">
        <v>56</v>
      </c>
      <c r="D77">
        <v>0</v>
      </c>
      <c r="E77">
        <v>0</v>
      </c>
      <c r="F77" s="10">
        <f>IFERROR(Table1[[#This Row],[Actual]]/Table1[[#This Row],[Target]],0)</f>
        <v>0</v>
      </c>
      <c r="G77" s="60">
        <f t="shared" ca="1" si="15"/>
        <v>273</v>
      </c>
      <c r="H77" s="60">
        <f>NETWORKDAYS.INTL(Table1[[#This Row],[No Bulan]],EOMONTH(Table1[[#This Row],[No Bulan]],0),1)</f>
        <v>23</v>
      </c>
      <c r="I77">
        <f t="shared" ca="1" si="16"/>
        <v>328</v>
      </c>
      <c r="J77">
        <f>NETWORKDAYS.INTL(Table1[[#This Row],[No Bulan]],EOMONTH(Table1[[#This Row],[No Bulan]],0),11)</f>
        <v>27</v>
      </c>
    </row>
    <row r="78" spans="1:10" x14ac:dyDescent="0.25">
      <c r="A78" s="4">
        <f t="shared" si="18"/>
        <v>45931</v>
      </c>
      <c r="B78" t="str">
        <f t="shared" si="14"/>
        <v>10</v>
      </c>
      <c r="C78" t="s">
        <v>57</v>
      </c>
      <c r="D78">
        <v>0</v>
      </c>
      <c r="E78">
        <v>0</v>
      </c>
      <c r="F78" s="10">
        <f>IFERROR(Table1[[#This Row],[Actual]]/Table1[[#This Row],[Target]],0)</f>
        <v>0</v>
      </c>
      <c r="G78" s="60">
        <f t="shared" ca="1" si="15"/>
        <v>273</v>
      </c>
      <c r="H78" s="60">
        <f>NETWORKDAYS.INTL(Table1[[#This Row],[No Bulan]],EOMONTH(Table1[[#This Row],[No Bulan]],0),1)</f>
        <v>23</v>
      </c>
      <c r="I78">
        <f t="shared" ca="1" si="16"/>
        <v>328</v>
      </c>
      <c r="J78">
        <f>NETWORKDAYS.INTL(Table1[[#This Row],[No Bulan]],EOMONTH(Table1[[#This Row],[No Bulan]],0),11)</f>
        <v>27</v>
      </c>
    </row>
    <row r="79" spans="1:10" x14ac:dyDescent="0.25">
      <c r="A79" s="4">
        <f t="shared" si="18"/>
        <v>45931</v>
      </c>
      <c r="B79" t="str">
        <f t="shared" si="14"/>
        <v>10</v>
      </c>
      <c r="C79" t="s">
        <v>58</v>
      </c>
      <c r="D79">
        <v>0</v>
      </c>
      <c r="E79">
        <v>0</v>
      </c>
      <c r="F79" s="10">
        <f>IFERROR(Table1[[#This Row],[Actual]]/Table1[[#This Row],[Target]],0)</f>
        <v>0</v>
      </c>
      <c r="G79" s="60">
        <f t="shared" ca="1" si="15"/>
        <v>273</v>
      </c>
      <c r="H79" s="60">
        <f>NETWORKDAYS.INTL(Table1[[#This Row],[No Bulan]],EOMONTH(Table1[[#This Row],[No Bulan]],0),1)</f>
        <v>23</v>
      </c>
      <c r="I79">
        <f t="shared" ca="1" si="16"/>
        <v>328</v>
      </c>
      <c r="J79">
        <f>NETWORKDAYS.INTL(Table1[[#This Row],[No Bulan]],EOMONTH(Table1[[#This Row],[No Bulan]],0),11)</f>
        <v>27</v>
      </c>
    </row>
    <row r="80" spans="1:10" x14ac:dyDescent="0.25">
      <c r="A80" s="4">
        <f t="shared" si="18"/>
        <v>45931</v>
      </c>
      <c r="B80" t="str">
        <f t="shared" si="14"/>
        <v>10</v>
      </c>
      <c r="C80" t="s">
        <v>59</v>
      </c>
      <c r="D80">
        <v>0</v>
      </c>
      <c r="E80">
        <v>0</v>
      </c>
      <c r="F80" s="10">
        <f>IFERROR(Table1[[#This Row],[Actual]]/Table1[[#This Row],[Target]],0)</f>
        <v>0</v>
      </c>
      <c r="G80" s="60">
        <f t="shared" ca="1" si="15"/>
        <v>273</v>
      </c>
      <c r="H80" s="60">
        <f>NETWORKDAYS.INTL(Table1[[#This Row],[No Bulan]],EOMONTH(Table1[[#This Row],[No Bulan]],0),1)</f>
        <v>23</v>
      </c>
      <c r="I80">
        <f t="shared" ca="1" si="16"/>
        <v>328</v>
      </c>
      <c r="J80">
        <f>NETWORKDAYS.INTL(Table1[[#This Row],[No Bulan]],EOMONTH(Table1[[#This Row],[No Bulan]],0),11)</f>
        <v>27</v>
      </c>
    </row>
    <row r="81" spans="1:10" x14ac:dyDescent="0.25">
      <c r="A81" s="4">
        <f t="shared" si="18"/>
        <v>45931</v>
      </c>
      <c r="B81" t="str">
        <f t="shared" si="14"/>
        <v>10</v>
      </c>
      <c r="C81" t="s">
        <v>60</v>
      </c>
      <c r="D81">
        <v>0</v>
      </c>
      <c r="E81">
        <v>0</v>
      </c>
      <c r="F81" s="10">
        <f>IFERROR(Table1[[#This Row],[Actual]]/Table1[[#This Row],[Target]],0)</f>
        <v>0</v>
      </c>
      <c r="G81" s="60">
        <f t="shared" ca="1" si="15"/>
        <v>273</v>
      </c>
      <c r="H81" s="60">
        <f>NETWORKDAYS.INTL(Table1[[#This Row],[No Bulan]],EOMONTH(Table1[[#This Row],[No Bulan]],0),1)</f>
        <v>23</v>
      </c>
      <c r="I81">
        <f t="shared" ca="1" si="16"/>
        <v>328</v>
      </c>
      <c r="J81">
        <f>NETWORKDAYS.INTL(Table1[[#This Row],[No Bulan]],EOMONTH(Table1[[#This Row],[No Bulan]],0),11)</f>
        <v>27</v>
      </c>
    </row>
    <row r="82" spans="1:10" x14ac:dyDescent="0.25">
      <c r="A82" s="4">
        <v>45962</v>
      </c>
      <c r="B82" t="str">
        <f t="shared" si="14"/>
        <v>11</v>
      </c>
      <c r="C82" t="s">
        <v>53</v>
      </c>
      <c r="D82">
        <v>0</v>
      </c>
      <c r="E82">
        <v>0</v>
      </c>
      <c r="F82" s="10">
        <f>IFERROR(Table1[[#This Row],[Actual]]/Table1[[#This Row],[Target]],0)</f>
        <v>0</v>
      </c>
      <c r="G82" s="60" t="str">
        <f t="shared" ca="1" si="15"/>
        <v/>
      </c>
      <c r="H82" s="60">
        <f>NETWORKDAYS.INTL(Table1[[#This Row],[No Bulan]],EOMONTH(Table1[[#This Row],[No Bulan]],0),1)</f>
        <v>20</v>
      </c>
      <c r="I82" t="str">
        <f t="shared" ca="1" si="16"/>
        <v/>
      </c>
      <c r="J82">
        <f>NETWORKDAYS.INTL(Table1[[#This Row],[No Bulan]],EOMONTH(Table1[[#This Row],[No Bulan]],0),11)</f>
        <v>25</v>
      </c>
    </row>
    <row r="83" spans="1:10" x14ac:dyDescent="0.25">
      <c r="A83" s="4">
        <f t="shared" ref="A83:A89" si="19">A82</f>
        <v>45962</v>
      </c>
      <c r="B83" t="str">
        <f t="shared" si="14"/>
        <v>11</v>
      </c>
      <c r="C83" t="s">
        <v>54</v>
      </c>
      <c r="D83">
        <v>0</v>
      </c>
      <c r="E83">
        <v>0</v>
      </c>
      <c r="F83" s="10">
        <f>IFERROR(Table1[[#This Row],[Actual]]/Table1[[#This Row],[Target]],0)</f>
        <v>0</v>
      </c>
      <c r="G83" s="60" t="str">
        <f t="shared" ca="1" si="15"/>
        <v/>
      </c>
      <c r="H83" s="60">
        <f>NETWORKDAYS.INTL(Table1[[#This Row],[No Bulan]],EOMONTH(Table1[[#This Row],[No Bulan]],0),1)</f>
        <v>20</v>
      </c>
      <c r="I83" t="str">
        <f t="shared" ca="1" si="16"/>
        <v/>
      </c>
      <c r="J83">
        <f>NETWORKDAYS.INTL(Table1[[#This Row],[No Bulan]],EOMONTH(Table1[[#This Row],[No Bulan]],0),11)</f>
        <v>25</v>
      </c>
    </row>
    <row r="84" spans="1:10" x14ac:dyDescent="0.25">
      <c r="A84" s="4">
        <f t="shared" si="19"/>
        <v>45962</v>
      </c>
      <c r="B84" t="str">
        <f t="shared" si="14"/>
        <v>11</v>
      </c>
      <c r="C84" t="s">
        <v>55</v>
      </c>
      <c r="D84">
        <v>0</v>
      </c>
      <c r="E84">
        <v>0</v>
      </c>
      <c r="F84" s="10">
        <f>IFERROR(Table1[[#This Row],[Actual]]/Table1[[#This Row],[Target]],0)</f>
        <v>0</v>
      </c>
      <c r="G84" s="60" t="str">
        <f t="shared" ca="1" si="15"/>
        <v/>
      </c>
      <c r="H84" s="60">
        <f>NETWORKDAYS.INTL(Table1[[#This Row],[No Bulan]],EOMONTH(Table1[[#This Row],[No Bulan]],0),1)</f>
        <v>20</v>
      </c>
      <c r="I84" t="str">
        <f t="shared" ca="1" si="16"/>
        <v/>
      </c>
      <c r="J84">
        <f>NETWORKDAYS.INTL(Table1[[#This Row],[No Bulan]],EOMONTH(Table1[[#This Row],[No Bulan]],0),11)</f>
        <v>25</v>
      </c>
    </row>
    <row r="85" spans="1:10" x14ac:dyDescent="0.25">
      <c r="A85" s="4">
        <f t="shared" si="19"/>
        <v>45962</v>
      </c>
      <c r="B85" t="str">
        <f t="shared" si="14"/>
        <v>11</v>
      </c>
      <c r="C85" t="s">
        <v>56</v>
      </c>
      <c r="D85">
        <v>0</v>
      </c>
      <c r="E85">
        <v>0</v>
      </c>
      <c r="F85" s="10">
        <f>IFERROR(Table1[[#This Row],[Actual]]/Table1[[#This Row],[Target]],0)</f>
        <v>0</v>
      </c>
      <c r="G85" s="60" t="str">
        <f t="shared" ca="1" si="15"/>
        <v/>
      </c>
      <c r="H85" s="60">
        <f>NETWORKDAYS.INTL(Table1[[#This Row],[No Bulan]],EOMONTH(Table1[[#This Row],[No Bulan]],0),1)</f>
        <v>20</v>
      </c>
      <c r="I85" t="str">
        <f t="shared" ca="1" si="16"/>
        <v/>
      </c>
      <c r="J85">
        <f>NETWORKDAYS.INTL(Table1[[#This Row],[No Bulan]],EOMONTH(Table1[[#This Row],[No Bulan]],0),11)</f>
        <v>25</v>
      </c>
    </row>
    <row r="86" spans="1:10" x14ac:dyDescent="0.25">
      <c r="A86" s="4">
        <f t="shared" si="19"/>
        <v>45962</v>
      </c>
      <c r="B86" t="str">
        <f t="shared" si="14"/>
        <v>11</v>
      </c>
      <c r="C86" t="s">
        <v>57</v>
      </c>
      <c r="D86">
        <v>0</v>
      </c>
      <c r="E86">
        <v>0</v>
      </c>
      <c r="F86" s="10">
        <f>IFERROR(Table1[[#This Row],[Actual]]/Table1[[#This Row],[Target]],0)</f>
        <v>0</v>
      </c>
      <c r="G86" s="60" t="str">
        <f t="shared" ca="1" si="15"/>
        <v/>
      </c>
      <c r="H86" s="60">
        <f>NETWORKDAYS.INTL(Table1[[#This Row],[No Bulan]],EOMONTH(Table1[[#This Row],[No Bulan]],0),1)</f>
        <v>20</v>
      </c>
      <c r="I86" t="str">
        <f t="shared" ca="1" si="16"/>
        <v/>
      </c>
      <c r="J86">
        <f>NETWORKDAYS.INTL(Table1[[#This Row],[No Bulan]],EOMONTH(Table1[[#This Row],[No Bulan]],0),11)</f>
        <v>25</v>
      </c>
    </row>
    <row r="87" spans="1:10" x14ac:dyDescent="0.25">
      <c r="A87" s="4">
        <f t="shared" si="19"/>
        <v>45962</v>
      </c>
      <c r="B87" t="str">
        <f t="shared" si="14"/>
        <v>11</v>
      </c>
      <c r="C87" t="s">
        <v>58</v>
      </c>
      <c r="D87">
        <v>0</v>
      </c>
      <c r="E87">
        <v>0</v>
      </c>
      <c r="F87" s="10">
        <f>IFERROR(Table1[[#This Row],[Actual]]/Table1[[#This Row],[Target]],0)</f>
        <v>0</v>
      </c>
      <c r="G87" s="60" t="str">
        <f t="shared" ca="1" si="15"/>
        <v/>
      </c>
      <c r="H87" s="60">
        <f>NETWORKDAYS.INTL(Table1[[#This Row],[No Bulan]],EOMONTH(Table1[[#This Row],[No Bulan]],0),1)</f>
        <v>20</v>
      </c>
      <c r="I87" t="str">
        <f t="shared" ca="1" si="16"/>
        <v/>
      </c>
      <c r="J87">
        <f>NETWORKDAYS.INTL(Table1[[#This Row],[No Bulan]],EOMONTH(Table1[[#This Row],[No Bulan]],0),11)</f>
        <v>25</v>
      </c>
    </row>
    <row r="88" spans="1:10" x14ac:dyDescent="0.25">
      <c r="A88" s="4">
        <f t="shared" si="19"/>
        <v>45962</v>
      </c>
      <c r="B88" t="str">
        <f t="shared" si="14"/>
        <v>11</v>
      </c>
      <c r="C88" t="s">
        <v>59</v>
      </c>
      <c r="D88">
        <v>0</v>
      </c>
      <c r="E88">
        <v>0</v>
      </c>
      <c r="F88" s="10">
        <f>IFERROR(Table1[[#This Row],[Actual]]/Table1[[#This Row],[Target]],0)</f>
        <v>0</v>
      </c>
      <c r="G88" s="60" t="str">
        <f t="shared" ca="1" si="15"/>
        <v/>
      </c>
      <c r="H88" s="60">
        <f>NETWORKDAYS.INTL(Table1[[#This Row],[No Bulan]],EOMONTH(Table1[[#This Row],[No Bulan]],0),1)</f>
        <v>20</v>
      </c>
      <c r="I88" t="str">
        <f t="shared" ca="1" si="16"/>
        <v/>
      </c>
      <c r="J88">
        <f>NETWORKDAYS.INTL(Table1[[#This Row],[No Bulan]],EOMONTH(Table1[[#This Row],[No Bulan]],0),11)</f>
        <v>25</v>
      </c>
    </row>
    <row r="89" spans="1:10" x14ac:dyDescent="0.25">
      <c r="A89" s="4">
        <f t="shared" si="19"/>
        <v>45962</v>
      </c>
      <c r="B89" t="str">
        <f t="shared" si="14"/>
        <v>11</v>
      </c>
      <c r="C89" t="s">
        <v>60</v>
      </c>
      <c r="D89">
        <v>0</v>
      </c>
      <c r="E89">
        <v>0</v>
      </c>
      <c r="F89" s="10">
        <f>IFERROR(Table1[[#This Row],[Actual]]/Table1[[#This Row],[Target]],0)</f>
        <v>0</v>
      </c>
      <c r="G89" s="60" t="str">
        <f t="shared" ca="1" si="15"/>
        <v/>
      </c>
      <c r="H89" s="60">
        <f>NETWORKDAYS.INTL(Table1[[#This Row],[No Bulan]],EOMONTH(Table1[[#This Row],[No Bulan]],0),1)</f>
        <v>20</v>
      </c>
      <c r="I89" t="str">
        <f t="shared" ca="1" si="16"/>
        <v/>
      </c>
      <c r="J89">
        <f>NETWORKDAYS.INTL(Table1[[#This Row],[No Bulan]],EOMONTH(Table1[[#This Row],[No Bulan]],0),11)</f>
        <v>25</v>
      </c>
    </row>
    <row r="90" spans="1:10" x14ac:dyDescent="0.25">
      <c r="A90" s="4">
        <v>45992</v>
      </c>
      <c r="B90" t="str">
        <f t="shared" si="14"/>
        <v>12</v>
      </c>
      <c r="C90" t="s">
        <v>53</v>
      </c>
      <c r="D90">
        <v>0</v>
      </c>
      <c r="E90">
        <v>0</v>
      </c>
      <c r="F90" s="10">
        <f>IFERROR(Table1[[#This Row],[Actual]]/Table1[[#This Row],[Target]],0)</f>
        <v>0</v>
      </c>
      <c r="G90" s="60" t="str">
        <f t="shared" ca="1" si="15"/>
        <v/>
      </c>
      <c r="H90" s="60">
        <f>NETWORKDAYS.INTL(Table1[[#This Row],[No Bulan]],EOMONTH(Table1[[#This Row],[No Bulan]],0),1)</f>
        <v>23</v>
      </c>
      <c r="I90" t="str">
        <f t="shared" ca="1" si="16"/>
        <v/>
      </c>
      <c r="J90">
        <f>NETWORKDAYS.INTL(Table1[[#This Row],[No Bulan]],EOMONTH(Table1[[#This Row],[No Bulan]],0),11)</f>
        <v>27</v>
      </c>
    </row>
    <row r="91" spans="1:10" x14ac:dyDescent="0.25">
      <c r="A91" s="4">
        <f t="shared" ref="A91:A97" si="20">A90</f>
        <v>45992</v>
      </c>
      <c r="B91" t="str">
        <f t="shared" si="14"/>
        <v>12</v>
      </c>
      <c r="C91" t="s">
        <v>54</v>
      </c>
      <c r="D91">
        <v>0</v>
      </c>
      <c r="E91">
        <v>0</v>
      </c>
      <c r="F91" s="10">
        <f>IFERROR(Table1[[#This Row],[Actual]]/Table1[[#This Row],[Target]],0)</f>
        <v>0</v>
      </c>
      <c r="G91" s="60" t="str">
        <f t="shared" ca="1" si="15"/>
        <v/>
      </c>
      <c r="H91" s="60">
        <f>NETWORKDAYS.INTL(Table1[[#This Row],[No Bulan]],EOMONTH(Table1[[#This Row],[No Bulan]],0),1)</f>
        <v>23</v>
      </c>
      <c r="I91" t="str">
        <f t="shared" ca="1" si="16"/>
        <v/>
      </c>
      <c r="J91">
        <f>NETWORKDAYS.INTL(Table1[[#This Row],[No Bulan]],EOMONTH(Table1[[#This Row],[No Bulan]],0),11)</f>
        <v>27</v>
      </c>
    </row>
    <row r="92" spans="1:10" x14ac:dyDescent="0.25">
      <c r="A92" s="4">
        <f t="shared" si="20"/>
        <v>45992</v>
      </c>
      <c r="B92" t="str">
        <f t="shared" si="14"/>
        <v>12</v>
      </c>
      <c r="C92" t="s">
        <v>55</v>
      </c>
      <c r="D92">
        <v>0</v>
      </c>
      <c r="E92">
        <v>0</v>
      </c>
      <c r="F92" s="10">
        <f>IFERROR(Table1[[#This Row],[Actual]]/Table1[[#This Row],[Target]],0)</f>
        <v>0</v>
      </c>
      <c r="G92" s="60" t="str">
        <f t="shared" ca="1" si="15"/>
        <v/>
      </c>
      <c r="H92" s="60">
        <f>NETWORKDAYS.INTL(Table1[[#This Row],[No Bulan]],EOMONTH(Table1[[#This Row],[No Bulan]],0),1)</f>
        <v>23</v>
      </c>
      <c r="I92" t="str">
        <f t="shared" ca="1" si="16"/>
        <v/>
      </c>
      <c r="J92">
        <f>NETWORKDAYS.INTL(Table1[[#This Row],[No Bulan]],EOMONTH(Table1[[#This Row],[No Bulan]],0),11)</f>
        <v>27</v>
      </c>
    </row>
    <row r="93" spans="1:10" x14ac:dyDescent="0.25">
      <c r="A93" s="4">
        <f t="shared" si="20"/>
        <v>45992</v>
      </c>
      <c r="B93" t="str">
        <f t="shared" si="14"/>
        <v>12</v>
      </c>
      <c r="C93" t="s">
        <v>56</v>
      </c>
      <c r="D93">
        <v>0</v>
      </c>
      <c r="E93">
        <v>0</v>
      </c>
      <c r="F93" s="10">
        <f>IFERROR(Table1[[#This Row],[Actual]]/Table1[[#This Row],[Target]],0)</f>
        <v>0</v>
      </c>
      <c r="G93" s="60" t="str">
        <f t="shared" ca="1" si="15"/>
        <v/>
      </c>
      <c r="H93" s="60">
        <f>NETWORKDAYS.INTL(Table1[[#This Row],[No Bulan]],EOMONTH(Table1[[#This Row],[No Bulan]],0),1)</f>
        <v>23</v>
      </c>
      <c r="I93" t="str">
        <f t="shared" ca="1" si="16"/>
        <v/>
      </c>
      <c r="J93">
        <f>NETWORKDAYS.INTL(Table1[[#This Row],[No Bulan]],EOMONTH(Table1[[#This Row],[No Bulan]],0),11)</f>
        <v>27</v>
      </c>
    </row>
    <row r="94" spans="1:10" x14ac:dyDescent="0.25">
      <c r="A94" s="4">
        <f t="shared" si="20"/>
        <v>45992</v>
      </c>
      <c r="B94" t="str">
        <f t="shared" si="14"/>
        <v>12</v>
      </c>
      <c r="C94" t="s">
        <v>57</v>
      </c>
      <c r="D94">
        <v>0</v>
      </c>
      <c r="E94">
        <v>0</v>
      </c>
      <c r="F94" s="10">
        <f>IFERROR(Table1[[#This Row],[Actual]]/Table1[[#This Row],[Target]],0)</f>
        <v>0</v>
      </c>
      <c r="G94" s="60" t="str">
        <f t="shared" ca="1" si="15"/>
        <v/>
      </c>
      <c r="H94" s="60">
        <f>NETWORKDAYS.INTL(Table1[[#This Row],[No Bulan]],EOMONTH(Table1[[#This Row],[No Bulan]],0),1)</f>
        <v>23</v>
      </c>
      <c r="I94" t="str">
        <f t="shared" ca="1" si="16"/>
        <v/>
      </c>
      <c r="J94">
        <f>NETWORKDAYS.INTL(Table1[[#This Row],[No Bulan]],EOMONTH(Table1[[#This Row],[No Bulan]],0),11)</f>
        <v>27</v>
      </c>
    </row>
    <row r="95" spans="1:10" x14ac:dyDescent="0.25">
      <c r="A95" s="4">
        <f t="shared" si="20"/>
        <v>45992</v>
      </c>
      <c r="B95" t="str">
        <f t="shared" si="14"/>
        <v>12</v>
      </c>
      <c r="C95" t="s">
        <v>58</v>
      </c>
      <c r="D95">
        <v>0</v>
      </c>
      <c r="E95">
        <v>0</v>
      </c>
      <c r="F95" s="10">
        <f>IFERROR(Table1[[#This Row],[Actual]]/Table1[[#This Row],[Target]],0)</f>
        <v>0</v>
      </c>
      <c r="G95" s="60" t="str">
        <f t="shared" ca="1" si="15"/>
        <v/>
      </c>
      <c r="H95" s="60">
        <f>NETWORKDAYS.INTL(Table1[[#This Row],[No Bulan]],EOMONTH(Table1[[#This Row],[No Bulan]],0),1)</f>
        <v>23</v>
      </c>
      <c r="I95" t="str">
        <f t="shared" ca="1" si="16"/>
        <v/>
      </c>
      <c r="J95">
        <f>NETWORKDAYS.INTL(Table1[[#This Row],[No Bulan]],EOMONTH(Table1[[#This Row],[No Bulan]],0),11)</f>
        <v>27</v>
      </c>
    </row>
    <row r="96" spans="1:10" x14ac:dyDescent="0.25">
      <c r="A96" s="4">
        <f t="shared" si="20"/>
        <v>45992</v>
      </c>
      <c r="B96" t="str">
        <f t="shared" si="14"/>
        <v>12</v>
      </c>
      <c r="C96" t="s">
        <v>59</v>
      </c>
      <c r="D96">
        <v>0</v>
      </c>
      <c r="E96">
        <v>0</v>
      </c>
      <c r="F96" s="10">
        <f>IFERROR(Table1[[#This Row],[Actual]]/Table1[[#This Row],[Target]],0)</f>
        <v>0</v>
      </c>
      <c r="G96" s="60" t="str">
        <f t="shared" ca="1" si="15"/>
        <v/>
      </c>
      <c r="H96" s="60">
        <f>NETWORKDAYS.INTL(Table1[[#This Row],[No Bulan]],EOMONTH(Table1[[#This Row],[No Bulan]],0),1)</f>
        <v>23</v>
      </c>
      <c r="I96" t="str">
        <f t="shared" ca="1" si="16"/>
        <v/>
      </c>
      <c r="J96">
        <f>NETWORKDAYS.INTL(Table1[[#This Row],[No Bulan]],EOMONTH(Table1[[#This Row],[No Bulan]],0),11)</f>
        <v>27</v>
      </c>
    </row>
    <row r="97" spans="1:10" x14ac:dyDescent="0.25">
      <c r="A97" s="4">
        <f t="shared" si="20"/>
        <v>45992</v>
      </c>
      <c r="B97" t="str">
        <f t="shared" si="14"/>
        <v>12</v>
      </c>
      <c r="C97" t="s">
        <v>60</v>
      </c>
      <c r="D97">
        <v>0</v>
      </c>
      <c r="E97">
        <v>0</v>
      </c>
      <c r="F97" s="10">
        <f>IFERROR(Table1[[#This Row],[Actual]]/Table1[[#This Row],[Target]],0)</f>
        <v>0</v>
      </c>
      <c r="G97" s="60" t="str">
        <f t="shared" ca="1" si="15"/>
        <v/>
      </c>
      <c r="H97" s="60">
        <f>NETWORKDAYS.INTL(Table1[[#This Row],[No Bulan]],EOMONTH(Table1[[#This Row],[No Bulan]],0),1)</f>
        <v>23</v>
      </c>
      <c r="I97" t="str">
        <f t="shared" ca="1" si="16"/>
        <v/>
      </c>
      <c r="J97">
        <f>NETWORKDAYS.INTL(Table1[[#This Row],[No Bulan]],EOMONTH(Table1[[#This Row],[No Bulan]],0),11)</f>
        <v>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 tint="0.59999389629810485"/>
  </sheetPr>
  <dimension ref="A1"/>
  <sheetViews>
    <sheetView showGridLines="0" tabSelected="1" zoomScale="89" zoomScaleNormal="70" workbookViewId="0">
      <selection activeCell="Y16" sqref="Y16"/>
    </sheetView>
  </sheetViews>
  <sheetFormatPr defaultRowHeight="15" x14ac:dyDescent="0.25"/>
  <cols>
    <col min="1" max="16384" width="9.140625" style="37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5" tint="0.39997558519241921"/>
  </sheetPr>
  <dimension ref="B1:L50"/>
  <sheetViews>
    <sheetView showGridLines="0" workbookViewId="0">
      <selection activeCell="J148" sqref="J148"/>
    </sheetView>
  </sheetViews>
  <sheetFormatPr defaultRowHeight="15" x14ac:dyDescent="0.25"/>
  <cols>
    <col min="2" max="2" width="19.85546875" customWidth="1"/>
    <col min="3" max="10" width="10.7109375" customWidth="1"/>
    <col min="11" max="11" width="10.85546875" customWidth="1"/>
    <col min="12" max="12" width="8.28515625" customWidth="1"/>
    <col min="13" max="13" width="10.42578125" customWidth="1"/>
    <col min="14" max="14" width="10.140625" customWidth="1"/>
    <col min="15" max="15" width="11.28515625" customWidth="1"/>
  </cols>
  <sheetData>
    <row r="1" spans="2:10" s="14" customFormat="1" x14ac:dyDescent="0.25"/>
    <row r="2" spans="2:10" x14ac:dyDescent="0.25">
      <c r="B2" s="38" t="s">
        <v>22</v>
      </c>
      <c r="C2" s="38" t="s">
        <v>39</v>
      </c>
      <c r="D2" s="14"/>
      <c r="E2" s="14"/>
      <c r="F2" s="14"/>
      <c r="G2" s="14"/>
      <c r="H2" s="14"/>
      <c r="I2" s="14"/>
      <c r="J2" s="14"/>
    </row>
    <row r="3" spans="2:10" x14ac:dyDescent="0.25">
      <c r="B3" s="38" t="s">
        <v>23</v>
      </c>
      <c r="C3" s="14" t="s">
        <v>6</v>
      </c>
      <c r="D3" s="14" t="s">
        <v>4</v>
      </c>
      <c r="E3" s="14" t="s">
        <v>5</v>
      </c>
      <c r="F3" s="14" t="s">
        <v>7</v>
      </c>
      <c r="G3" s="14" t="s">
        <v>1</v>
      </c>
      <c r="H3" s="14" t="s">
        <v>2</v>
      </c>
      <c r="I3" s="14" t="s">
        <v>3</v>
      </c>
      <c r="J3" s="14" t="s">
        <v>0</v>
      </c>
    </row>
    <row r="4" spans="2:10" x14ac:dyDescent="0.25">
      <c r="B4" s="39" t="s">
        <v>53</v>
      </c>
      <c r="C4" s="14">
        <v>761772</v>
      </c>
      <c r="D4" s="14">
        <v>1261150</v>
      </c>
      <c r="E4" s="14">
        <v>1421784</v>
      </c>
      <c r="F4" s="14">
        <v>1121848</v>
      </c>
      <c r="G4" s="14">
        <v>726791</v>
      </c>
      <c r="H4" s="14">
        <v>609588</v>
      </c>
      <c r="I4" s="14">
        <v>596475</v>
      </c>
      <c r="J4" s="14">
        <v>6499408</v>
      </c>
    </row>
    <row r="5" spans="2:10" x14ac:dyDescent="0.25">
      <c r="B5" s="39" t="s">
        <v>54</v>
      </c>
      <c r="C5" s="14">
        <v>26824</v>
      </c>
      <c r="D5" s="14">
        <v>0</v>
      </c>
      <c r="E5" s="14">
        <v>19533</v>
      </c>
      <c r="F5" s="14">
        <v>0</v>
      </c>
      <c r="G5" s="14">
        <v>14200</v>
      </c>
      <c r="H5" s="14">
        <v>0</v>
      </c>
      <c r="I5" s="14">
        <v>0</v>
      </c>
      <c r="J5" s="14">
        <v>60557</v>
      </c>
    </row>
    <row r="6" spans="2:10" x14ac:dyDescent="0.25">
      <c r="B6" s="39" t="s">
        <v>55</v>
      </c>
      <c r="C6" s="14">
        <v>2505650</v>
      </c>
      <c r="D6" s="14">
        <v>3963314</v>
      </c>
      <c r="E6" s="14">
        <v>4647104</v>
      </c>
      <c r="F6" s="14">
        <v>4237104</v>
      </c>
      <c r="G6" s="14">
        <v>3022770</v>
      </c>
      <c r="H6" s="14">
        <v>3713867</v>
      </c>
      <c r="I6" s="14">
        <v>1608390</v>
      </c>
      <c r="J6" s="14">
        <v>23698199</v>
      </c>
    </row>
    <row r="7" spans="2:10" x14ac:dyDescent="0.25">
      <c r="B7" s="39" t="s">
        <v>56</v>
      </c>
      <c r="C7" s="14">
        <v>107610</v>
      </c>
      <c r="D7" s="14">
        <v>217930</v>
      </c>
      <c r="E7" s="14">
        <v>245680</v>
      </c>
      <c r="F7" s="14">
        <v>274390</v>
      </c>
      <c r="G7" s="14">
        <v>319580</v>
      </c>
      <c r="H7" s="14">
        <v>540447</v>
      </c>
      <c r="I7" s="14">
        <v>114640</v>
      </c>
      <c r="J7" s="14">
        <v>1820277</v>
      </c>
    </row>
    <row r="8" spans="2:10" x14ac:dyDescent="0.25">
      <c r="B8" s="39" t="s">
        <v>57</v>
      </c>
      <c r="C8" s="14">
        <v>0</v>
      </c>
      <c r="D8" s="14">
        <v>602</v>
      </c>
      <c r="E8" s="14">
        <v>0</v>
      </c>
      <c r="F8" s="14">
        <v>16016</v>
      </c>
      <c r="G8" s="14">
        <v>28896</v>
      </c>
      <c r="H8" s="14">
        <v>45000</v>
      </c>
      <c r="I8" s="14">
        <v>5780</v>
      </c>
      <c r="J8" s="14">
        <v>96294</v>
      </c>
    </row>
    <row r="9" spans="2:10" x14ac:dyDescent="0.25">
      <c r="B9" s="39" t="s">
        <v>58</v>
      </c>
      <c r="C9" s="14">
        <v>229768</v>
      </c>
      <c r="D9" s="14">
        <v>244582</v>
      </c>
      <c r="E9" s="14">
        <v>275050</v>
      </c>
      <c r="F9" s="14">
        <v>288680</v>
      </c>
      <c r="G9" s="14">
        <v>277389</v>
      </c>
      <c r="H9" s="14">
        <v>248835</v>
      </c>
      <c r="I9" s="14">
        <v>100932</v>
      </c>
      <c r="J9" s="14">
        <v>1665236</v>
      </c>
    </row>
    <row r="10" spans="2:10" x14ac:dyDescent="0.25">
      <c r="B10" s="39" t="s">
        <v>59</v>
      </c>
      <c r="C10" s="14">
        <v>475090</v>
      </c>
      <c r="D10" s="14">
        <v>424600</v>
      </c>
      <c r="E10" s="14">
        <v>396236</v>
      </c>
      <c r="F10" s="14">
        <v>370668</v>
      </c>
      <c r="G10" s="14">
        <v>665000</v>
      </c>
      <c r="H10" s="14">
        <v>389388</v>
      </c>
      <c r="I10" s="14">
        <v>423450</v>
      </c>
      <c r="J10" s="14">
        <v>3144432</v>
      </c>
    </row>
    <row r="11" spans="2:10" x14ac:dyDescent="0.25">
      <c r="B11" s="39" t="s">
        <v>60</v>
      </c>
      <c r="C11" s="14">
        <v>28134</v>
      </c>
      <c r="D11" s="14">
        <v>217944</v>
      </c>
      <c r="E11" s="14">
        <v>656370</v>
      </c>
      <c r="F11" s="14">
        <v>318682</v>
      </c>
      <c r="G11" s="14">
        <v>548458</v>
      </c>
      <c r="H11" s="14">
        <v>567056</v>
      </c>
      <c r="I11" s="14">
        <v>442785</v>
      </c>
      <c r="J11" s="14">
        <v>2779429</v>
      </c>
    </row>
    <row r="12" spans="2:10" x14ac:dyDescent="0.25">
      <c r="B12" s="39" t="s">
        <v>0</v>
      </c>
      <c r="C12" s="14">
        <v>4134848</v>
      </c>
      <c r="D12" s="14">
        <v>6330122</v>
      </c>
      <c r="E12" s="14">
        <v>7661757</v>
      </c>
      <c r="F12" s="14">
        <v>6627388</v>
      </c>
      <c r="G12" s="14">
        <v>5603084</v>
      </c>
      <c r="H12" s="14">
        <v>6114181</v>
      </c>
      <c r="I12" s="14">
        <v>3292452</v>
      </c>
      <c r="J12" s="14">
        <v>39763832</v>
      </c>
    </row>
    <row r="15" spans="2:10" x14ac:dyDescent="0.25">
      <c r="B15" s="1" t="s">
        <v>21</v>
      </c>
      <c r="C15" s="1" t="s">
        <v>39</v>
      </c>
    </row>
    <row r="16" spans="2:10" x14ac:dyDescent="0.25">
      <c r="B16" s="1" t="s">
        <v>23</v>
      </c>
      <c r="C16" t="s">
        <v>6</v>
      </c>
      <c r="D16" t="s">
        <v>4</v>
      </c>
      <c r="E16" t="s">
        <v>5</v>
      </c>
      <c r="F16" t="s">
        <v>7</v>
      </c>
      <c r="G16" t="s">
        <v>1</v>
      </c>
      <c r="H16" t="s">
        <v>2</v>
      </c>
      <c r="I16" t="s">
        <v>3</v>
      </c>
      <c r="J16" t="s">
        <v>0</v>
      </c>
    </row>
    <row r="17" spans="2:10" x14ac:dyDescent="0.25">
      <c r="B17" s="61" t="s">
        <v>53</v>
      </c>
      <c r="C17" s="14">
        <v>1150000</v>
      </c>
      <c r="D17" s="14">
        <v>789600</v>
      </c>
      <c r="E17" s="14">
        <v>1474200</v>
      </c>
      <c r="F17" s="14">
        <v>1452000</v>
      </c>
      <c r="G17" s="14">
        <v>1452000</v>
      </c>
      <c r="H17" s="14">
        <v>803250</v>
      </c>
      <c r="I17" s="14">
        <v>1044900</v>
      </c>
      <c r="J17" s="14">
        <v>8165950</v>
      </c>
    </row>
    <row r="18" spans="2:10" x14ac:dyDescent="0.25">
      <c r="B18" s="61" t="s">
        <v>54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</row>
    <row r="19" spans="2:10" x14ac:dyDescent="0.25">
      <c r="B19" s="61" t="s">
        <v>55</v>
      </c>
      <c r="C19" s="14">
        <v>6311200</v>
      </c>
      <c r="D19" s="14">
        <v>4224000</v>
      </c>
      <c r="E19" s="14">
        <v>5747700</v>
      </c>
      <c r="F19" s="14">
        <v>4664000</v>
      </c>
      <c r="G19" s="14">
        <v>5830000</v>
      </c>
      <c r="H19" s="14">
        <v>1554000</v>
      </c>
      <c r="I19" s="14">
        <v>5309640</v>
      </c>
      <c r="J19" s="14">
        <v>33640540</v>
      </c>
    </row>
    <row r="20" spans="2:10" x14ac:dyDescent="0.25">
      <c r="B20" s="61" t="s">
        <v>56</v>
      </c>
      <c r="C20" s="14">
        <v>552230</v>
      </c>
      <c r="D20" s="14">
        <v>529200</v>
      </c>
      <c r="E20" s="14">
        <v>576240</v>
      </c>
      <c r="F20" s="14">
        <v>409640</v>
      </c>
      <c r="G20" s="14">
        <v>398860</v>
      </c>
      <c r="H20" s="14">
        <v>576240</v>
      </c>
      <c r="I20" s="14">
        <v>606816</v>
      </c>
      <c r="J20" s="14">
        <v>3649226</v>
      </c>
    </row>
    <row r="21" spans="2:10" x14ac:dyDescent="0.25">
      <c r="B21" s="61" t="s">
        <v>57</v>
      </c>
      <c r="C21" s="14">
        <v>0</v>
      </c>
      <c r="D21" s="14">
        <v>0</v>
      </c>
      <c r="E21" s="14">
        <v>58800</v>
      </c>
      <c r="F21" s="14">
        <v>55000</v>
      </c>
      <c r="G21" s="14">
        <v>61600</v>
      </c>
      <c r="H21" s="14">
        <v>90300</v>
      </c>
      <c r="I21" s="14">
        <v>118680</v>
      </c>
      <c r="J21" s="14">
        <v>384380</v>
      </c>
    </row>
    <row r="22" spans="2:10" x14ac:dyDescent="0.25">
      <c r="B22" s="61" t="s">
        <v>58</v>
      </c>
      <c r="C22" s="14">
        <v>230000</v>
      </c>
      <c r="D22" s="14">
        <v>238000</v>
      </c>
      <c r="E22" s="14">
        <v>245700</v>
      </c>
      <c r="F22" s="14">
        <v>300300</v>
      </c>
      <c r="G22" s="14">
        <v>524700</v>
      </c>
      <c r="H22" s="14">
        <v>0</v>
      </c>
      <c r="I22" s="14">
        <v>303150</v>
      </c>
      <c r="J22" s="14">
        <v>1841850</v>
      </c>
    </row>
    <row r="23" spans="2:10" x14ac:dyDescent="0.25">
      <c r="B23" s="61" t="s">
        <v>59</v>
      </c>
      <c r="C23" s="14">
        <v>714150</v>
      </c>
      <c r="D23" s="14">
        <v>286700</v>
      </c>
      <c r="E23" s="14">
        <v>476280</v>
      </c>
      <c r="F23" s="14">
        <v>495000</v>
      </c>
      <c r="G23" s="14">
        <v>476190</v>
      </c>
      <c r="H23" s="14">
        <v>339150</v>
      </c>
      <c r="I23" s="14">
        <v>813603</v>
      </c>
      <c r="J23" s="14">
        <v>3601073</v>
      </c>
    </row>
    <row r="24" spans="2:10" x14ac:dyDescent="0.25">
      <c r="B24" s="61" t="s">
        <v>60</v>
      </c>
      <c r="C24" s="14">
        <v>303600</v>
      </c>
      <c r="D24" s="14">
        <v>564000</v>
      </c>
      <c r="E24" s="14">
        <v>478800</v>
      </c>
      <c r="F24" s="14">
        <v>501600</v>
      </c>
      <c r="G24" s="14">
        <v>514800</v>
      </c>
      <c r="H24" s="14">
        <v>705600</v>
      </c>
      <c r="I24" s="14">
        <v>681120</v>
      </c>
      <c r="J24" s="14">
        <v>3749520</v>
      </c>
    </row>
    <row r="25" spans="2:10" x14ac:dyDescent="0.25">
      <c r="B25" s="61" t="s">
        <v>0</v>
      </c>
      <c r="C25" s="14">
        <v>9261180</v>
      </c>
      <c r="D25" s="14">
        <v>6631500</v>
      </c>
      <c r="E25" s="14">
        <v>9057720</v>
      </c>
      <c r="F25" s="14">
        <v>7877540</v>
      </c>
      <c r="G25" s="14">
        <v>9258150</v>
      </c>
      <c r="H25" s="14">
        <v>4068540</v>
      </c>
      <c r="I25" s="14">
        <v>8877909</v>
      </c>
      <c r="J25" s="14">
        <v>55032539</v>
      </c>
    </row>
    <row r="26" spans="2:10" s="12" customFormat="1" x14ac:dyDescent="0.25">
      <c r="C26" s="12">
        <f>SUM(C4:C11)/HLOOKUP(C16,$B$16:$J$25,10,0)</f>
        <v>0.44647096806238512</v>
      </c>
      <c r="D26" s="12">
        <f t="shared" ref="D26:I26" si="0">SUM(D4:D11)/HLOOKUP(D16,$B$16:$J$25,10,0)</f>
        <v>0.95455357008218356</v>
      </c>
      <c r="E26" s="12">
        <f t="shared" si="0"/>
        <v>0.84588141386574101</v>
      </c>
      <c r="F26" s="12">
        <f t="shared" si="0"/>
        <v>0.84130172617339927</v>
      </c>
      <c r="G26" s="12">
        <f t="shared" si="0"/>
        <v>0.60520557562796018</v>
      </c>
      <c r="H26" s="12">
        <f t="shared" si="0"/>
        <v>1.5027948600726551</v>
      </c>
      <c r="I26" s="12">
        <f t="shared" si="0"/>
        <v>0.37085894888086823</v>
      </c>
    </row>
    <row r="27" spans="2:10" s="12" customFormat="1" ht="15" customHeight="1" x14ac:dyDescent="0.25">
      <c r="B27" s="74" t="s">
        <v>41</v>
      </c>
      <c r="C27" s="74"/>
      <c r="D27" s="74"/>
      <c r="E27" s="74"/>
      <c r="F27" s="74"/>
      <c r="G27" s="74"/>
      <c r="H27" s="74"/>
      <c r="I27" s="74"/>
      <c r="J27" s="74"/>
    </row>
    <row r="28" spans="2:10" s="12" customFormat="1" ht="15.75" customHeight="1" thickBot="1" x14ac:dyDescent="0.3">
      <c r="B28" s="75"/>
      <c r="C28" s="75"/>
      <c r="D28" s="75"/>
      <c r="E28" s="75"/>
      <c r="F28" s="75"/>
      <c r="G28" s="75"/>
      <c r="H28" s="75"/>
      <c r="I28" s="75"/>
      <c r="J28" s="75"/>
    </row>
    <row r="29" spans="2:10" s="12" customFormat="1" ht="15.75" thickBot="1" x14ac:dyDescent="0.3">
      <c r="B29" s="45"/>
      <c r="C29" s="52" t="str">
        <f>C3</f>
        <v>1</v>
      </c>
      <c r="D29" s="52" t="str">
        <f t="shared" ref="D29:J29" si="1">D3</f>
        <v>2</v>
      </c>
      <c r="E29" s="52" t="str">
        <f t="shared" si="1"/>
        <v>3</v>
      </c>
      <c r="F29" s="52" t="str">
        <f t="shared" si="1"/>
        <v>4</v>
      </c>
      <c r="G29" s="52" t="str">
        <f t="shared" si="1"/>
        <v>5</v>
      </c>
      <c r="H29" s="52" t="str">
        <f t="shared" si="1"/>
        <v>6</v>
      </c>
      <c r="I29" s="52" t="str">
        <f t="shared" si="1"/>
        <v>7</v>
      </c>
      <c r="J29" s="55" t="str">
        <f t="shared" si="1"/>
        <v>Grand Total</v>
      </c>
    </row>
    <row r="30" spans="2:10" s="12" customFormat="1" x14ac:dyDescent="0.25">
      <c r="B30" s="53" t="str">
        <f>B4</f>
        <v>LINE A</v>
      </c>
      <c r="C30" s="51">
        <f>VLOOKUP($B30,$B$2:$J$12,MATCH(C$41,$B$3:$I$3,0),FALSE)</f>
        <v>761772</v>
      </c>
      <c r="D30" s="51">
        <f t="shared" ref="D30:I38" si="2">VLOOKUP($B30,$B$2:$J$12,MATCH(D$41,$B$3:$I$3,0),FALSE)</f>
        <v>1261150</v>
      </c>
      <c r="E30" s="51">
        <f t="shared" si="2"/>
        <v>1421784</v>
      </c>
      <c r="F30" s="51">
        <f t="shared" si="2"/>
        <v>1121848</v>
      </c>
      <c r="G30" s="51">
        <f t="shared" si="2"/>
        <v>726791</v>
      </c>
      <c r="H30" s="51">
        <f t="shared" si="2"/>
        <v>609588</v>
      </c>
      <c r="I30" s="51">
        <f t="shared" si="2"/>
        <v>596475</v>
      </c>
      <c r="J30" s="56">
        <f>VLOOKUP($B30,$B$2:$J$12,MATCH(J$41,$B$3:$J$3,0),FALSE)</f>
        <v>6499408</v>
      </c>
    </row>
    <row r="31" spans="2:10" s="12" customFormat="1" x14ac:dyDescent="0.25">
      <c r="B31" s="53" t="str">
        <f>B5</f>
        <v>LINE B</v>
      </c>
      <c r="C31" s="51">
        <f t="shared" ref="C31:C38" si="3">VLOOKUP($B31,$B$2:$J$12,MATCH(C$41,$B$3:$I$3,0),FALSE)</f>
        <v>26824</v>
      </c>
      <c r="D31" s="51">
        <f t="shared" si="2"/>
        <v>0</v>
      </c>
      <c r="E31" s="51">
        <f t="shared" si="2"/>
        <v>19533</v>
      </c>
      <c r="F31" s="51">
        <f t="shared" si="2"/>
        <v>0</v>
      </c>
      <c r="G31" s="51">
        <f t="shared" si="2"/>
        <v>14200</v>
      </c>
      <c r="H31" s="51">
        <f t="shared" si="2"/>
        <v>0</v>
      </c>
      <c r="I31" s="51">
        <f t="shared" si="2"/>
        <v>0</v>
      </c>
      <c r="J31" s="56">
        <f t="shared" ref="J31:J38" si="4">VLOOKUP($B31,$B$2:$J$12,MATCH(J$41,$B$3:$J$3,0),FALSE)</f>
        <v>60557</v>
      </c>
    </row>
    <row r="32" spans="2:10" s="12" customFormat="1" x14ac:dyDescent="0.25">
      <c r="B32" s="53" t="str">
        <f t="shared" ref="B32:B38" si="5">B6</f>
        <v>LINE C</v>
      </c>
      <c r="C32" s="51">
        <f t="shared" si="3"/>
        <v>2505650</v>
      </c>
      <c r="D32" s="51">
        <f t="shared" si="2"/>
        <v>3963314</v>
      </c>
      <c r="E32" s="51">
        <f t="shared" si="2"/>
        <v>4647104</v>
      </c>
      <c r="F32" s="51">
        <f t="shared" si="2"/>
        <v>4237104</v>
      </c>
      <c r="G32" s="51">
        <f t="shared" si="2"/>
        <v>3022770</v>
      </c>
      <c r="H32" s="51">
        <f t="shared" si="2"/>
        <v>3713867</v>
      </c>
      <c r="I32" s="51">
        <f t="shared" si="2"/>
        <v>1608390</v>
      </c>
      <c r="J32" s="56">
        <f t="shared" si="4"/>
        <v>23698199</v>
      </c>
    </row>
    <row r="33" spans="2:12" s="12" customFormat="1" x14ac:dyDescent="0.25">
      <c r="B33" s="53" t="str">
        <f t="shared" si="5"/>
        <v>LINE D</v>
      </c>
      <c r="C33" s="51">
        <f t="shared" si="3"/>
        <v>107610</v>
      </c>
      <c r="D33" s="51">
        <f t="shared" si="2"/>
        <v>217930</v>
      </c>
      <c r="E33" s="51">
        <f t="shared" si="2"/>
        <v>245680</v>
      </c>
      <c r="F33" s="51">
        <f t="shared" si="2"/>
        <v>274390</v>
      </c>
      <c r="G33" s="51">
        <f t="shared" si="2"/>
        <v>319580</v>
      </c>
      <c r="H33" s="51">
        <f t="shared" si="2"/>
        <v>540447</v>
      </c>
      <c r="I33" s="51">
        <f t="shared" si="2"/>
        <v>114640</v>
      </c>
      <c r="J33" s="56">
        <f t="shared" si="4"/>
        <v>1820277</v>
      </c>
    </row>
    <row r="34" spans="2:12" s="12" customFormat="1" x14ac:dyDescent="0.25">
      <c r="B34" s="53" t="str">
        <f t="shared" si="5"/>
        <v>LINE E</v>
      </c>
      <c r="C34" s="51">
        <f t="shared" si="3"/>
        <v>0</v>
      </c>
      <c r="D34" s="51">
        <f t="shared" si="2"/>
        <v>602</v>
      </c>
      <c r="E34" s="51">
        <f t="shared" si="2"/>
        <v>0</v>
      </c>
      <c r="F34" s="51">
        <f t="shared" si="2"/>
        <v>16016</v>
      </c>
      <c r="G34" s="51">
        <f t="shared" si="2"/>
        <v>28896</v>
      </c>
      <c r="H34" s="51">
        <f t="shared" si="2"/>
        <v>45000</v>
      </c>
      <c r="I34" s="51">
        <f t="shared" si="2"/>
        <v>5780</v>
      </c>
      <c r="J34" s="56">
        <f t="shared" si="4"/>
        <v>96294</v>
      </c>
    </row>
    <row r="35" spans="2:12" s="12" customFormat="1" x14ac:dyDescent="0.25">
      <c r="B35" s="53" t="str">
        <f t="shared" si="5"/>
        <v>LINE F</v>
      </c>
      <c r="C35" s="51">
        <f t="shared" si="3"/>
        <v>229768</v>
      </c>
      <c r="D35" s="51">
        <f t="shared" si="2"/>
        <v>244582</v>
      </c>
      <c r="E35" s="51">
        <f t="shared" si="2"/>
        <v>275050</v>
      </c>
      <c r="F35" s="51">
        <f t="shared" si="2"/>
        <v>288680</v>
      </c>
      <c r="G35" s="51">
        <f t="shared" si="2"/>
        <v>277389</v>
      </c>
      <c r="H35" s="51">
        <f t="shared" si="2"/>
        <v>248835</v>
      </c>
      <c r="I35" s="51">
        <f t="shared" si="2"/>
        <v>100932</v>
      </c>
      <c r="J35" s="56">
        <f t="shared" si="4"/>
        <v>1665236</v>
      </c>
    </row>
    <row r="36" spans="2:12" s="12" customFormat="1" x14ac:dyDescent="0.25">
      <c r="B36" s="53" t="str">
        <f t="shared" si="5"/>
        <v>LINE G</v>
      </c>
      <c r="C36" s="51">
        <f t="shared" si="3"/>
        <v>475090</v>
      </c>
      <c r="D36" s="51">
        <f t="shared" si="2"/>
        <v>424600</v>
      </c>
      <c r="E36" s="51">
        <f t="shared" si="2"/>
        <v>396236</v>
      </c>
      <c r="F36" s="51">
        <f t="shared" si="2"/>
        <v>370668</v>
      </c>
      <c r="G36" s="51">
        <f t="shared" si="2"/>
        <v>665000</v>
      </c>
      <c r="H36" s="51">
        <f t="shared" si="2"/>
        <v>389388</v>
      </c>
      <c r="I36" s="51">
        <f t="shared" si="2"/>
        <v>423450</v>
      </c>
      <c r="J36" s="56">
        <f t="shared" si="4"/>
        <v>3144432</v>
      </c>
    </row>
    <row r="37" spans="2:12" s="12" customFormat="1" ht="15.75" thickBot="1" x14ac:dyDescent="0.3">
      <c r="B37" s="53" t="str">
        <f t="shared" si="5"/>
        <v>LINE H</v>
      </c>
      <c r="C37" s="51">
        <f t="shared" si="3"/>
        <v>28134</v>
      </c>
      <c r="D37" s="51">
        <f t="shared" si="2"/>
        <v>217944</v>
      </c>
      <c r="E37" s="51">
        <f t="shared" si="2"/>
        <v>656370</v>
      </c>
      <c r="F37" s="51">
        <f t="shared" si="2"/>
        <v>318682</v>
      </c>
      <c r="G37" s="51">
        <f t="shared" si="2"/>
        <v>548458</v>
      </c>
      <c r="H37" s="51">
        <f t="shared" si="2"/>
        <v>567056</v>
      </c>
      <c r="I37" s="51">
        <f t="shared" si="2"/>
        <v>442785</v>
      </c>
      <c r="J37" s="56">
        <f t="shared" si="4"/>
        <v>2779429</v>
      </c>
    </row>
    <row r="38" spans="2:12" s="12" customFormat="1" ht="15.75" thickBot="1" x14ac:dyDescent="0.3">
      <c r="B38" s="54" t="str">
        <f t="shared" si="5"/>
        <v>Grand Total</v>
      </c>
      <c r="C38" s="58">
        <f t="shared" si="3"/>
        <v>4134848</v>
      </c>
      <c r="D38" s="58">
        <f t="shared" si="2"/>
        <v>6330122</v>
      </c>
      <c r="E38" s="58">
        <f t="shared" si="2"/>
        <v>7661757</v>
      </c>
      <c r="F38" s="58">
        <f t="shared" si="2"/>
        <v>6627388</v>
      </c>
      <c r="G38" s="58">
        <f t="shared" si="2"/>
        <v>5603084</v>
      </c>
      <c r="H38" s="58">
        <f t="shared" si="2"/>
        <v>6114181</v>
      </c>
      <c r="I38" s="58">
        <f t="shared" si="2"/>
        <v>3292452</v>
      </c>
      <c r="J38" s="57">
        <f t="shared" si="4"/>
        <v>39763832</v>
      </c>
    </row>
    <row r="39" spans="2:12" ht="15" customHeight="1" x14ac:dyDescent="0.25">
      <c r="B39" s="76" t="s">
        <v>40</v>
      </c>
      <c r="C39" s="76"/>
      <c r="D39" s="76"/>
      <c r="E39" s="76"/>
      <c r="F39" s="76"/>
      <c r="G39" s="76"/>
      <c r="H39" s="76"/>
      <c r="I39" s="76"/>
      <c r="J39" s="76"/>
    </row>
    <row r="40" spans="2:12" ht="15.75" customHeight="1" thickBot="1" x14ac:dyDescent="0.3">
      <c r="B40" s="75"/>
      <c r="C40" s="75"/>
      <c r="D40" s="75"/>
      <c r="E40" s="75"/>
      <c r="F40" s="75"/>
      <c r="G40" s="75"/>
      <c r="H40" s="75"/>
      <c r="I40" s="75"/>
      <c r="J40" s="75"/>
      <c r="L40">
        <f>600*23</f>
        <v>13800</v>
      </c>
    </row>
    <row r="41" spans="2:12" ht="15.75" thickBot="1" x14ac:dyDescent="0.3">
      <c r="B41" s="45"/>
      <c r="C41" s="42" t="str">
        <f>C16</f>
        <v>1</v>
      </c>
      <c r="D41" s="42" t="str">
        <f t="shared" ref="D41:J41" si="6">D16</f>
        <v>2</v>
      </c>
      <c r="E41" s="42" t="str">
        <f t="shared" si="6"/>
        <v>3</v>
      </c>
      <c r="F41" s="42" t="str">
        <f t="shared" si="6"/>
        <v>4</v>
      </c>
      <c r="G41" s="42" t="str">
        <f t="shared" si="6"/>
        <v>5</v>
      </c>
      <c r="H41" s="42" t="str">
        <f t="shared" si="6"/>
        <v>6</v>
      </c>
      <c r="I41" s="43" t="str">
        <f t="shared" si="6"/>
        <v>7</v>
      </c>
      <c r="J41" s="50" t="str">
        <f t="shared" si="6"/>
        <v>Grand Total</v>
      </c>
    </row>
    <row r="42" spans="2:12" x14ac:dyDescent="0.25">
      <c r="B42" s="44" t="str">
        <f>B17</f>
        <v>LINE A</v>
      </c>
      <c r="C42" s="40">
        <f t="shared" ref="C42:I50" si="7">VLOOKUP($B42,$B$2:$J$12,MATCH(C$41,$B$3:$I$3,0),FALSE)/VLOOKUP($B42,$B$15:$J$25,MATCH(C$41,$B$16:$I$16,0),FALSE)</f>
        <v>0.66241043478260875</v>
      </c>
      <c r="D42" s="40">
        <f t="shared" si="7"/>
        <v>1.5972011144883485</v>
      </c>
      <c r="E42" s="40">
        <f t="shared" si="7"/>
        <v>0.96444444444444444</v>
      </c>
      <c r="F42" s="40">
        <f t="shared" si="7"/>
        <v>0.77262258953168039</v>
      </c>
      <c r="G42" s="40">
        <f t="shared" si="7"/>
        <v>0.50054476584022034</v>
      </c>
      <c r="H42" s="40">
        <f t="shared" si="7"/>
        <v>0.75890196078431371</v>
      </c>
      <c r="I42" s="41">
        <f t="shared" si="7"/>
        <v>0.57084409991386731</v>
      </c>
      <c r="J42" s="41">
        <f t="shared" ref="J42:J50" si="8">VLOOKUP($B42,$B$2:$J$12,MATCH(J$41,$B$3:$J$3,0),FALSE)/VLOOKUP($B42,$B$15:$J$25,MATCH(J$41,$B$16:$J$16,0),FALSE)</f>
        <v>0.79591572321652715</v>
      </c>
    </row>
    <row r="43" spans="2:12" x14ac:dyDescent="0.25">
      <c r="B43" s="44" t="str">
        <f t="shared" ref="B43:B50" si="9">B18</f>
        <v>LINE B</v>
      </c>
      <c r="C43" s="40" t="e">
        <f t="shared" si="7"/>
        <v>#DIV/0!</v>
      </c>
      <c r="D43" s="40" t="e">
        <f t="shared" si="7"/>
        <v>#DIV/0!</v>
      </c>
      <c r="E43" s="40" t="e">
        <f t="shared" si="7"/>
        <v>#DIV/0!</v>
      </c>
      <c r="F43" s="40" t="e">
        <f t="shared" si="7"/>
        <v>#DIV/0!</v>
      </c>
      <c r="G43" s="40" t="e">
        <f t="shared" si="7"/>
        <v>#DIV/0!</v>
      </c>
      <c r="H43" s="40" t="e">
        <f t="shared" si="7"/>
        <v>#DIV/0!</v>
      </c>
      <c r="I43" s="41" t="e">
        <f t="shared" si="7"/>
        <v>#DIV/0!</v>
      </c>
      <c r="J43" s="41" t="e">
        <f t="shared" si="8"/>
        <v>#DIV/0!</v>
      </c>
    </row>
    <row r="44" spans="2:12" x14ac:dyDescent="0.25">
      <c r="B44" s="44" t="str">
        <f t="shared" si="9"/>
        <v>LINE C</v>
      </c>
      <c r="C44" s="40">
        <f t="shared" si="7"/>
        <v>0.39701641526175685</v>
      </c>
      <c r="D44" s="40">
        <f t="shared" si="7"/>
        <v>0.93828456439393937</v>
      </c>
      <c r="E44" s="40">
        <f t="shared" si="7"/>
        <v>0.80851540616246498</v>
      </c>
      <c r="F44" s="40">
        <f t="shared" si="7"/>
        <v>0.90846998284734137</v>
      </c>
      <c r="G44" s="40">
        <f t="shared" si="7"/>
        <v>0.51848542024013722</v>
      </c>
      <c r="H44" s="40">
        <f t="shared" si="7"/>
        <v>2.3898758043758042</v>
      </c>
      <c r="I44" s="41">
        <f t="shared" si="7"/>
        <v>0.30291884195538682</v>
      </c>
      <c r="J44" s="41">
        <f t="shared" si="8"/>
        <v>0.70445358487111087</v>
      </c>
    </row>
    <row r="45" spans="2:12" x14ac:dyDescent="0.25">
      <c r="B45" s="44" t="str">
        <f t="shared" si="9"/>
        <v>LINE D</v>
      </c>
      <c r="C45" s="40">
        <f t="shared" si="7"/>
        <v>0.19486445864947577</v>
      </c>
      <c r="D45" s="40">
        <f t="shared" si="7"/>
        <v>0.41181027966742251</v>
      </c>
      <c r="E45" s="40">
        <f t="shared" si="7"/>
        <v>0.4263501318894905</v>
      </c>
      <c r="F45" s="40">
        <f t="shared" si="7"/>
        <v>0.66983204765159654</v>
      </c>
      <c r="G45" s="40">
        <f t="shared" si="7"/>
        <v>0.80123351551922983</v>
      </c>
      <c r="H45" s="40">
        <f t="shared" si="7"/>
        <v>0.93788525614327367</v>
      </c>
      <c r="I45" s="41">
        <f t="shared" si="7"/>
        <v>0.18892052945209092</v>
      </c>
      <c r="J45" s="41">
        <f t="shared" si="8"/>
        <v>0.49881180283161414</v>
      </c>
    </row>
    <row r="46" spans="2:12" x14ac:dyDescent="0.25">
      <c r="B46" s="44" t="str">
        <f t="shared" si="9"/>
        <v>LINE E</v>
      </c>
      <c r="C46" s="40" t="e">
        <f t="shared" si="7"/>
        <v>#DIV/0!</v>
      </c>
      <c r="D46" s="40" t="e">
        <f t="shared" si="7"/>
        <v>#DIV/0!</v>
      </c>
      <c r="E46" s="40">
        <f t="shared" si="7"/>
        <v>0</v>
      </c>
      <c r="F46" s="40">
        <f t="shared" si="7"/>
        <v>0.29120000000000001</v>
      </c>
      <c r="G46" s="40">
        <f t="shared" si="7"/>
        <v>0.46909090909090911</v>
      </c>
      <c r="H46" s="40">
        <f t="shared" si="7"/>
        <v>0.49833887043189368</v>
      </c>
      <c r="I46" s="41">
        <f t="shared" si="7"/>
        <v>4.8702392989551736E-2</v>
      </c>
      <c r="J46" s="41">
        <f t="shared" si="8"/>
        <v>0.25051771684270774</v>
      </c>
    </row>
    <row r="47" spans="2:12" x14ac:dyDescent="0.25">
      <c r="B47" s="44" t="str">
        <f t="shared" si="9"/>
        <v>LINE F</v>
      </c>
      <c r="C47" s="40">
        <f t="shared" si="7"/>
        <v>0.99899130434782613</v>
      </c>
      <c r="D47" s="40">
        <f t="shared" si="7"/>
        <v>1.0276554621848739</v>
      </c>
      <c r="E47" s="40">
        <f t="shared" si="7"/>
        <v>1.1194546194546195</v>
      </c>
      <c r="F47" s="40">
        <f t="shared" si="7"/>
        <v>0.96130536130536126</v>
      </c>
      <c r="G47" s="40">
        <f t="shared" si="7"/>
        <v>0.52866209262435682</v>
      </c>
      <c r="H47" s="40" t="e">
        <f t="shared" si="7"/>
        <v>#DIV/0!</v>
      </c>
      <c r="I47" s="41">
        <f t="shared" si="7"/>
        <v>0.33294408708560119</v>
      </c>
      <c r="J47" s="41">
        <f t="shared" si="8"/>
        <v>0.90411054103211441</v>
      </c>
    </row>
    <row r="48" spans="2:12" x14ac:dyDescent="0.25">
      <c r="B48" s="44" t="str">
        <f t="shared" si="9"/>
        <v>LINE G</v>
      </c>
      <c r="C48" s="40">
        <f t="shared" si="7"/>
        <v>0.66525239795561153</v>
      </c>
      <c r="D48" s="40">
        <f t="shared" si="7"/>
        <v>1.4809905824904082</v>
      </c>
      <c r="E48" s="40">
        <f t="shared" si="7"/>
        <v>0.83193919543125894</v>
      </c>
      <c r="F48" s="40">
        <f t="shared" si="7"/>
        <v>0.74882424242424239</v>
      </c>
      <c r="G48" s="40">
        <f t="shared" si="7"/>
        <v>1.3965013965013966</v>
      </c>
      <c r="H48" s="40">
        <f t="shared" si="7"/>
        <v>1.1481291463954002</v>
      </c>
      <c r="I48" s="41">
        <f t="shared" si="7"/>
        <v>0.52046268265972473</v>
      </c>
      <c r="J48" s="41">
        <f t="shared" si="8"/>
        <v>0.87319307328676754</v>
      </c>
    </row>
    <row r="49" spans="2:10" ht="15.75" thickBot="1" x14ac:dyDescent="0.3">
      <c r="B49" s="44" t="str">
        <f t="shared" si="9"/>
        <v>LINE H</v>
      </c>
      <c r="C49" s="40">
        <f t="shared" si="7"/>
        <v>9.2667984189723315E-2</v>
      </c>
      <c r="D49" s="40">
        <f t="shared" si="7"/>
        <v>0.38642553191489359</v>
      </c>
      <c r="E49" s="40">
        <f t="shared" si="7"/>
        <v>1.3708646616541353</v>
      </c>
      <c r="F49" s="40">
        <f t="shared" si="7"/>
        <v>0.63533094098883569</v>
      </c>
      <c r="G49" s="40">
        <f t="shared" si="7"/>
        <v>1.0653807303807303</v>
      </c>
      <c r="H49" s="40">
        <f t="shared" si="7"/>
        <v>0.80365079365079362</v>
      </c>
      <c r="I49" s="41">
        <f t="shared" si="7"/>
        <v>0.65008368569415076</v>
      </c>
      <c r="J49" s="41">
        <f t="shared" si="8"/>
        <v>0.74127594998826518</v>
      </c>
    </row>
    <row r="50" spans="2:10" ht="15.75" thickBot="1" x14ac:dyDescent="0.3">
      <c r="B50" s="47" t="str">
        <f t="shared" si="9"/>
        <v>Grand Total</v>
      </c>
      <c r="C50" s="48">
        <f t="shared" si="7"/>
        <v>0.44647096806238512</v>
      </c>
      <c r="D50" s="48">
        <f t="shared" si="7"/>
        <v>0.95455357008218356</v>
      </c>
      <c r="E50" s="48">
        <f t="shared" si="7"/>
        <v>0.84588141386574101</v>
      </c>
      <c r="F50" s="48">
        <f t="shared" si="7"/>
        <v>0.84130172617339927</v>
      </c>
      <c r="G50" s="48">
        <f t="shared" si="7"/>
        <v>0.60520557562796018</v>
      </c>
      <c r="H50" s="48">
        <f t="shared" si="7"/>
        <v>1.5027948600726551</v>
      </c>
      <c r="I50" s="49">
        <f t="shared" si="7"/>
        <v>0.37085894888086823</v>
      </c>
      <c r="J50" s="46">
        <f t="shared" si="8"/>
        <v>0.72255128915640254</v>
      </c>
    </row>
  </sheetData>
  <mergeCells count="2">
    <mergeCell ref="B27:J28"/>
    <mergeCell ref="B39:J40"/>
  </mergeCells>
  <conditionalFormatting sqref="C42:J50">
    <cfRule type="colorScale" priority="12">
      <colorScale>
        <cfvo type="formula" val="0.01"/>
        <cfvo type="percentile" val="50"/>
        <cfvo type="formula" val="1"/>
        <color rgb="FFF8696B"/>
        <color rgb="FFFFEB84"/>
        <color rgb="FF63BE7B"/>
      </colorScale>
    </cfRule>
  </conditionalFormatting>
  <conditionalFormatting sqref="C30:I3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1:I3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2:I3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3:I3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4:I3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5:I3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6:I3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7:I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8:I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KPI</vt:lpstr>
      <vt:lpstr>Target Per Line</vt:lpstr>
      <vt:lpstr>Raw Data</vt:lpstr>
      <vt:lpstr>Dashboard</vt:lpstr>
      <vt:lpstr>Detail Per Bulan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big-bcv-mis-mgr01</dc:creator>
  <cp:lastModifiedBy>Norman Dwi Febrio</cp:lastModifiedBy>
  <cp:lastPrinted>2025-03-04T00:54:29Z</cp:lastPrinted>
  <dcterms:created xsi:type="dcterms:W3CDTF">2017-10-27T09:47:31Z</dcterms:created>
  <dcterms:modified xsi:type="dcterms:W3CDTF">2026-10-18T15:36:31Z</dcterms:modified>
</cp:coreProperties>
</file>